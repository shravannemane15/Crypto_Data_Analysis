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tables/table2.xml" ContentType="application/vnd.openxmlformats-officedocument.spreadsheetml.table+xml"/>
  <Override PartName="/xl/pivotTables/pivotTable5.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slicers/slicer4.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shrav\OneDrive\Desktop\New folder (2)\"/>
    </mc:Choice>
  </mc:AlternateContent>
  <xr:revisionPtr revIDLastSave="0" documentId="13_ncr:1_{BB4DC0B1-850D-4633-9489-1DD48ADDBAF9}" xr6:coauthVersionLast="47" xr6:coauthVersionMax="47" xr10:uidLastSave="{00000000-0000-0000-0000-000000000000}"/>
  <bookViews>
    <workbookView xWindow="-108" yWindow="-108" windowWidth="23256" windowHeight="12456" firstSheet="2" activeTab="8" xr2:uid="{8AA8A262-541C-46AC-9D92-C124EEE71CDA}"/>
  </bookViews>
  <sheets>
    <sheet name="Raw_Data" sheetId="1" r:id="rId1"/>
    <sheet name="Sheet1" sheetId="6" r:id="rId2"/>
    <sheet name="Sheet2" sheetId="7" r:id="rId3"/>
    <sheet name="Sheet4" sheetId="9" r:id="rId4"/>
    <sheet name="Sheet5" sheetId="10" r:id="rId5"/>
    <sheet name="Cleaned_Data" sheetId="2" r:id="rId6"/>
    <sheet name="Pivot_Tables" sheetId="3" r:id="rId7"/>
    <sheet name="Dashboard" sheetId="4" r:id="rId8"/>
    <sheet name="Interactive dashboard" sheetId="11" r:id="rId9"/>
    <sheet name="Crypto_Comparison" sheetId="5" r:id="rId10"/>
  </sheets>
  <definedNames>
    <definedName name="_xlcn.WorksheetConnection_Crypto_Analysis_Task.xlsmCrypto_Data__21" hidden="1">Crypto_Data__2[]</definedName>
    <definedName name="_xleta.CELL" hidden="1" xlm="1">#NAME?</definedName>
    <definedName name="Slicer_Price_0_5">#N/A</definedName>
    <definedName name="Slicer_Price_Category">#N/A</definedName>
    <definedName name="Slicer_Price_Range">#N/A</definedName>
  </definedNames>
  <calcPr calcId="191029"/>
  <pivotCaches>
    <pivotCache cacheId="0" r:id="rId11"/>
    <pivotCache cacheId="1" r:id="rId12"/>
  </pivotCaches>
  <extLst>
    <ext xmlns:x14="http://schemas.microsoft.com/office/spreadsheetml/2009/9/main" uri="{876F7934-8845-4945-9796-88D515C7AA90}">
      <x14:pivotCaches>
        <pivotCache cacheId="2" r:id="rId13"/>
      </x14:pivotCaches>
    </ex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rypto_Data__2" name="Crypto_Data__2" connection="WorksheetConnection_Crypto_Analysis_Task.xlsm!Crypto_Data__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T2" i="2" l="1"/>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L2" i="2" l="1"/>
  <c r="S2" i="2" s="1"/>
  <c r="L3" i="2"/>
  <c r="S3" i="2" s="1"/>
  <c r="L4" i="2"/>
  <c r="S4" i="2" s="1"/>
  <c r="L5" i="2"/>
  <c r="S5" i="2" s="1"/>
  <c r="L6" i="2"/>
  <c r="S6" i="2" s="1"/>
  <c r="L7" i="2"/>
  <c r="S7" i="2" s="1"/>
  <c r="L8" i="2"/>
  <c r="S8" i="2" s="1"/>
  <c r="L9" i="2"/>
  <c r="S9" i="2" s="1"/>
  <c r="L10" i="2"/>
  <c r="S10" i="2" s="1"/>
  <c r="L11" i="2"/>
  <c r="S11" i="2" s="1"/>
  <c r="L12" i="2"/>
  <c r="S12" i="2" s="1"/>
  <c r="L13" i="2"/>
  <c r="S13" i="2" s="1"/>
  <c r="L14" i="2"/>
  <c r="S14" i="2" s="1"/>
  <c r="L15" i="2"/>
  <c r="S15" i="2" s="1"/>
  <c r="L16" i="2"/>
  <c r="S16" i="2" s="1"/>
  <c r="L17" i="2"/>
  <c r="S17" i="2" s="1"/>
  <c r="L18" i="2"/>
  <c r="L19" i="2"/>
  <c r="S19" i="2" s="1"/>
  <c r="L20" i="2"/>
  <c r="S20" i="2" s="1"/>
  <c r="L21" i="2"/>
  <c r="S21" i="2" s="1"/>
  <c r="L22" i="2"/>
  <c r="S22" i="2" s="1"/>
  <c r="L23" i="2"/>
  <c r="S23" i="2" s="1"/>
  <c r="L24" i="2"/>
  <c r="S24" i="2" s="1"/>
  <c r="L25" i="2"/>
  <c r="S25" i="2" s="1"/>
  <c r="L26" i="2"/>
  <c r="S26" i="2" s="1"/>
  <c r="L27" i="2"/>
  <c r="S27" i="2" s="1"/>
  <c r="L28" i="2"/>
  <c r="S28" i="2" s="1"/>
  <c r="L29" i="2"/>
  <c r="S29" i="2" s="1"/>
  <c r="L30" i="2"/>
  <c r="L31" i="2"/>
  <c r="S31" i="2" s="1"/>
  <c r="L32" i="2"/>
  <c r="S32" i="2" s="1"/>
  <c r="L33" i="2"/>
  <c r="S33" i="2" s="1"/>
  <c r="L34" i="2"/>
  <c r="S34" i="2" s="1"/>
  <c r="L35" i="2"/>
  <c r="S35" i="2" s="1"/>
  <c r="L36" i="2"/>
  <c r="S36" i="2" s="1"/>
  <c r="L37" i="2"/>
  <c r="S37" i="2" s="1"/>
  <c r="L38" i="2"/>
  <c r="S38" i="2" s="1"/>
  <c r="L39" i="2"/>
  <c r="S39" i="2" s="1"/>
  <c r="L40" i="2"/>
  <c r="S40" i="2" s="1"/>
  <c r="L41" i="2"/>
  <c r="S41" i="2" s="1"/>
  <c r="L42" i="2"/>
  <c r="S42" i="2" s="1"/>
  <c r="L43" i="2"/>
  <c r="S43" i="2" s="1"/>
  <c r="L44" i="2"/>
  <c r="S44" i="2" s="1"/>
  <c r="L45" i="2"/>
  <c r="S45" i="2" s="1"/>
  <c r="L46" i="2"/>
  <c r="S46" i="2" s="1"/>
  <c r="L47" i="2"/>
  <c r="S47" i="2" s="1"/>
  <c r="L48" i="2"/>
  <c r="S48" i="2" s="1"/>
  <c r="L49" i="2"/>
  <c r="S49" i="2" s="1"/>
  <c r="L50" i="2"/>
  <c r="S50" i="2" s="1"/>
  <c r="L51" i="2"/>
  <c r="S51" i="2" s="1"/>
  <c r="L52" i="2"/>
  <c r="S52" i="2" s="1"/>
  <c r="L53" i="2"/>
  <c r="S53" i="2" s="1"/>
  <c r="L54" i="2"/>
  <c r="S54" i="2" s="1"/>
  <c r="L55" i="2"/>
  <c r="S55" i="2" s="1"/>
  <c r="L56" i="2"/>
  <c r="S56" i="2" s="1"/>
  <c r="L57" i="2"/>
  <c r="S57" i="2" s="1"/>
  <c r="L58" i="2"/>
  <c r="S58" i="2" s="1"/>
  <c r="L59" i="2"/>
  <c r="S59" i="2" s="1"/>
  <c r="L60" i="2"/>
  <c r="S60" i="2" s="1"/>
  <c r="L61" i="2"/>
  <c r="S61" i="2" s="1"/>
  <c r="L62" i="2"/>
  <c r="S62" i="2" s="1"/>
  <c r="L63" i="2"/>
  <c r="S63" i="2" s="1"/>
  <c r="L64" i="2"/>
  <c r="S64" i="2" s="1"/>
  <c r="L65" i="2"/>
  <c r="S65" i="2" s="1"/>
  <c r="L66" i="2"/>
  <c r="S66" i="2" s="1"/>
  <c r="L67" i="2"/>
  <c r="S67" i="2" s="1"/>
  <c r="L68" i="2"/>
  <c r="S68" i="2" s="1"/>
  <c r="L69" i="2"/>
  <c r="S69" i="2" s="1"/>
  <c r="L70" i="2"/>
  <c r="S70" i="2" s="1"/>
  <c r="L71" i="2"/>
  <c r="S71" i="2" s="1"/>
  <c r="L72" i="2"/>
  <c r="S72" i="2" s="1"/>
  <c r="L73" i="2"/>
  <c r="L74" i="2"/>
  <c r="S74" i="2" s="1"/>
  <c r="L75" i="2"/>
  <c r="S75" i="2" s="1"/>
  <c r="L76" i="2"/>
  <c r="S76" i="2" s="1"/>
  <c r="L77" i="2"/>
  <c r="S77" i="2" s="1"/>
  <c r="L78" i="2"/>
  <c r="S78" i="2" s="1"/>
  <c r="L79" i="2"/>
  <c r="S79" i="2" s="1"/>
  <c r="L80" i="2"/>
  <c r="S80" i="2" s="1"/>
  <c r="L81" i="2"/>
  <c r="S81" i="2" s="1"/>
  <c r="L82" i="2"/>
  <c r="S82" i="2" s="1"/>
  <c r="L83" i="2"/>
  <c r="S83" i="2" s="1"/>
  <c r="L84" i="2"/>
  <c r="S84" i="2" s="1"/>
  <c r="L85" i="2"/>
  <c r="S85" i="2" s="1"/>
  <c r="L86" i="2"/>
  <c r="S86" i="2" s="1"/>
  <c r="L87" i="2"/>
  <c r="S87" i="2" s="1"/>
  <c r="L88" i="2"/>
  <c r="S88" i="2" s="1"/>
  <c r="L89" i="2"/>
  <c r="S89" i="2" s="1"/>
  <c r="L90" i="2"/>
  <c r="S90" i="2" s="1"/>
  <c r="L91" i="2"/>
  <c r="S91" i="2" s="1"/>
  <c r="L92" i="2"/>
  <c r="S92" i="2" s="1"/>
  <c r="L93" i="2"/>
  <c r="S93" i="2" s="1"/>
  <c r="L94" i="2"/>
  <c r="S94" i="2" s="1"/>
  <c r="L95" i="2"/>
  <c r="S95" i="2" s="1"/>
  <c r="L96" i="2"/>
  <c r="S96" i="2" s="1"/>
  <c r="L97" i="2"/>
  <c r="S97" i="2" s="1"/>
  <c r="L98" i="2"/>
  <c r="S98" i="2" s="1"/>
  <c r="L99" i="2"/>
  <c r="S99" i="2" s="1"/>
  <c r="L100" i="2"/>
  <c r="S100" i="2" s="1"/>
  <c r="L101" i="2"/>
  <c r="S101" i="2" s="1"/>
  <c r="L102" i="2"/>
  <c r="S102" i="2" s="1"/>
  <c r="L103" i="2"/>
  <c r="S103" i="2" s="1"/>
  <c r="L104" i="2"/>
  <c r="S104" i="2" s="1"/>
  <c r="L105" i="2"/>
  <c r="S105" i="2" s="1"/>
  <c r="L106" i="2"/>
  <c r="S106" i="2" s="1"/>
  <c r="L107" i="2"/>
  <c r="S107" i="2" s="1"/>
  <c r="L108" i="2"/>
  <c r="S108" i="2" s="1"/>
  <c r="L109" i="2"/>
  <c r="S109" i="2" s="1"/>
  <c r="L110" i="2"/>
  <c r="S110" i="2" s="1"/>
  <c r="L111" i="2"/>
  <c r="S111" i="2" s="1"/>
  <c r="L112" i="2"/>
  <c r="S112" i="2" s="1"/>
  <c r="L113" i="2"/>
  <c r="S113" i="2" s="1"/>
  <c r="L114" i="2"/>
  <c r="S114" i="2" s="1"/>
  <c r="L115" i="2"/>
  <c r="S115" i="2" s="1"/>
  <c r="L116" i="2"/>
  <c r="S116" i="2" s="1"/>
  <c r="L117" i="2"/>
  <c r="S117" i="2" s="1"/>
  <c r="L118" i="2"/>
  <c r="S118" i="2" s="1"/>
  <c r="L119" i="2"/>
  <c r="S119" i="2" s="1"/>
  <c r="L120" i="2"/>
  <c r="S120" i="2" s="1"/>
  <c r="L121" i="2"/>
  <c r="S121" i="2" s="1"/>
  <c r="L122" i="2"/>
  <c r="S122" i="2" s="1"/>
  <c r="L123" i="2"/>
  <c r="S123" i="2" s="1"/>
  <c r="L124" i="2"/>
  <c r="S124" i="2" s="1"/>
  <c r="L125" i="2"/>
  <c r="S125" i="2" s="1"/>
  <c r="L126" i="2"/>
  <c r="S126" i="2" s="1"/>
  <c r="L127" i="2"/>
  <c r="S127" i="2" s="1"/>
  <c r="L128" i="2"/>
  <c r="S128" i="2" s="1"/>
  <c r="L129" i="2"/>
  <c r="S129" i="2" s="1"/>
  <c r="L130" i="2"/>
  <c r="S130" i="2" s="1"/>
  <c r="L131" i="2"/>
  <c r="S131" i="2" s="1"/>
  <c r="L132" i="2"/>
  <c r="S132" i="2" s="1"/>
  <c r="L133" i="2"/>
  <c r="S133" i="2" s="1"/>
  <c r="L134" i="2"/>
  <c r="S134" i="2" s="1"/>
  <c r="L135" i="2"/>
  <c r="S135" i="2" s="1"/>
  <c r="L136" i="2"/>
  <c r="S136" i="2" s="1"/>
  <c r="L137" i="2"/>
  <c r="S137" i="2" s="1"/>
  <c r="L138" i="2"/>
  <c r="S138" i="2" s="1"/>
  <c r="L139" i="2"/>
  <c r="S139" i="2" s="1"/>
  <c r="L140" i="2"/>
  <c r="S140" i="2" s="1"/>
  <c r="L141" i="2"/>
  <c r="S141" i="2" s="1"/>
  <c r="L142" i="2"/>
  <c r="S142" i="2" s="1"/>
  <c r="L143" i="2"/>
  <c r="S143" i="2" s="1"/>
  <c r="L144" i="2"/>
  <c r="S144" i="2" s="1"/>
  <c r="L145" i="2"/>
  <c r="S145" i="2" s="1"/>
  <c r="L146" i="2"/>
  <c r="S146" i="2" s="1"/>
  <c r="L147" i="2"/>
  <c r="S147" i="2" s="1"/>
  <c r="L148" i="2"/>
  <c r="S148" i="2" s="1"/>
  <c r="L149" i="2"/>
  <c r="S149" i="2" s="1"/>
  <c r="L150" i="2"/>
  <c r="S150" i="2" s="1"/>
  <c r="L151" i="2"/>
  <c r="S151" i="2" s="1"/>
  <c r="L152" i="2"/>
  <c r="S152" i="2" s="1"/>
  <c r="L153" i="2"/>
  <c r="S153" i="2" s="1"/>
  <c r="L154" i="2"/>
  <c r="S154" i="2" s="1"/>
  <c r="L155" i="2"/>
  <c r="S155" i="2" s="1"/>
  <c r="L156" i="2"/>
  <c r="S156" i="2" s="1"/>
  <c r="L157" i="2"/>
  <c r="S157" i="2" s="1"/>
  <c r="L158" i="2"/>
  <c r="S158" i="2" s="1"/>
  <c r="L159" i="2"/>
  <c r="S159" i="2" s="1"/>
  <c r="L160" i="2"/>
  <c r="S160" i="2" s="1"/>
  <c r="L161" i="2"/>
  <c r="S161" i="2" s="1"/>
  <c r="L162" i="2"/>
  <c r="S162" i="2" s="1"/>
  <c r="L163" i="2"/>
  <c r="S163" i="2" s="1"/>
  <c r="L164" i="2"/>
  <c r="S164" i="2" s="1"/>
  <c r="L165" i="2"/>
  <c r="S165" i="2" s="1"/>
  <c r="L166" i="2"/>
  <c r="S166" i="2" s="1"/>
  <c r="L167" i="2"/>
  <c r="S167" i="2" s="1"/>
  <c r="L168" i="2"/>
  <c r="S168" i="2" s="1"/>
  <c r="L169" i="2"/>
  <c r="S169" i="2" s="1"/>
  <c r="L170" i="2"/>
  <c r="S170" i="2" s="1"/>
  <c r="L171" i="2"/>
  <c r="S171" i="2" s="1"/>
  <c r="L172" i="2"/>
  <c r="S172" i="2" s="1"/>
  <c r="L173" i="2"/>
  <c r="S173" i="2" s="1"/>
  <c r="L174" i="2"/>
  <c r="S174" i="2" s="1"/>
  <c r="L175" i="2"/>
  <c r="S175" i="2" s="1"/>
  <c r="L176" i="2"/>
  <c r="S176" i="2" s="1"/>
  <c r="L177" i="2"/>
  <c r="S177" i="2" s="1"/>
  <c r="L178" i="2"/>
  <c r="S178" i="2" s="1"/>
  <c r="L179" i="2"/>
  <c r="S179" i="2" s="1"/>
  <c r="L180" i="2"/>
  <c r="S180" i="2" s="1"/>
  <c r="L181" i="2"/>
  <c r="S181" i="2" s="1"/>
  <c r="L182" i="2"/>
  <c r="S182" i="2" s="1"/>
  <c r="L183" i="2"/>
  <c r="S183" i="2" s="1"/>
  <c r="L184" i="2"/>
  <c r="S184" i="2" s="1"/>
  <c r="L185" i="2"/>
  <c r="S185" i="2" s="1"/>
  <c r="L186" i="2"/>
  <c r="S186" i="2" s="1"/>
  <c r="L187" i="2"/>
  <c r="S187" i="2" s="1"/>
  <c r="L188" i="2"/>
  <c r="S188" i="2" s="1"/>
  <c r="L189" i="2"/>
  <c r="S189" i="2" s="1"/>
  <c r="L190" i="2"/>
  <c r="S190" i="2" s="1"/>
  <c r="L191" i="2"/>
  <c r="S191" i="2" s="1"/>
  <c r="L192" i="2"/>
  <c r="S192" i="2" s="1"/>
  <c r="L193" i="2"/>
  <c r="S193" i="2" s="1"/>
  <c r="L194" i="2"/>
  <c r="S194" i="2" s="1"/>
  <c r="L195" i="2"/>
  <c r="S195" i="2" s="1"/>
  <c r="L196" i="2"/>
  <c r="S196" i="2" s="1"/>
  <c r="L197" i="2"/>
  <c r="S197" i="2" s="1"/>
  <c r="L198" i="2"/>
  <c r="S198" i="2" s="1"/>
  <c r="L199" i="2"/>
  <c r="S199" i="2" s="1"/>
  <c r="L200" i="2"/>
  <c r="S200" i="2" s="1"/>
  <c r="L201" i="2"/>
  <c r="S201" i="2" s="1"/>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 i="2"/>
  <c r="F11" i="5"/>
  <c r="B11" i="5"/>
  <c r="F10" i="5"/>
  <c r="B10" i="5"/>
  <c r="F12" i="5"/>
  <c r="F9" i="5"/>
  <c r="F8" i="5"/>
  <c r="B9" i="5"/>
  <c r="B8" i="5"/>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B2" i="2"/>
  <c r="B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R73" i="2" l="1"/>
  <c r="S73" i="2"/>
  <c r="R30" i="2"/>
  <c r="S30" i="2"/>
  <c r="R18" i="2"/>
  <c r="S18" i="2"/>
  <c r="Q193" i="2"/>
  <c r="R193" i="2"/>
  <c r="Q181" i="2"/>
  <c r="R181" i="2"/>
  <c r="Q169" i="2"/>
  <c r="R169" i="2"/>
  <c r="Q157" i="2"/>
  <c r="R157" i="2"/>
  <c r="Q145" i="2"/>
  <c r="R145" i="2"/>
  <c r="Q133" i="2"/>
  <c r="R133" i="2"/>
  <c r="Q121" i="2"/>
  <c r="R121" i="2"/>
  <c r="Q109" i="2"/>
  <c r="R109" i="2"/>
  <c r="Q97" i="2"/>
  <c r="R97" i="2"/>
  <c r="Q85" i="2"/>
  <c r="R85" i="2"/>
  <c r="Q61" i="2"/>
  <c r="R61" i="2"/>
  <c r="Q49" i="2"/>
  <c r="R49" i="2"/>
  <c r="Q37" i="2"/>
  <c r="R37" i="2"/>
  <c r="Q25" i="2"/>
  <c r="R25" i="2"/>
  <c r="Q13" i="2"/>
  <c r="R13" i="2"/>
  <c r="Q180" i="2"/>
  <c r="R180" i="2"/>
  <c r="Q108" i="2"/>
  <c r="R108" i="2"/>
  <c r="Q48" i="2"/>
  <c r="R48" i="2"/>
  <c r="Q191" i="2"/>
  <c r="R191" i="2"/>
  <c r="Q179" i="2"/>
  <c r="R179" i="2"/>
  <c r="Q167" i="2"/>
  <c r="R167" i="2"/>
  <c r="Q155" i="2"/>
  <c r="R155" i="2"/>
  <c r="Q143" i="2"/>
  <c r="R143" i="2"/>
  <c r="Q131" i="2"/>
  <c r="R131" i="2"/>
  <c r="Q119" i="2"/>
  <c r="R119" i="2"/>
  <c r="Q107" i="2"/>
  <c r="R107" i="2"/>
  <c r="Q95" i="2"/>
  <c r="R95" i="2"/>
  <c r="Q83" i="2"/>
  <c r="R83" i="2"/>
  <c r="Q71" i="2"/>
  <c r="R71" i="2"/>
  <c r="Q59" i="2"/>
  <c r="R59" i="2"/>
  <c r="Q47" i="2"/>
  <c r="R47" i="2"/>
  <c r="Q35" i="2"/>
  <c r="R35" i="2"/>
  <c r="Q23" i="2"/>
  <c r="R23" i="2"/>
  <c r="Q11" i="2"/>
  <c r="R11" i="2"/>
  <c r="Q144" i="2"/>
  <c r="R144" i="2"/>
  <c r="Q72" i="2"/>
  <c r="R72" i="2"/>
  <c r="Q12" i="2"/>
  <c r="R12" i="2"/>
  <c r="Q190" i="2"/>
  <c r="R190" i="2"/>
  <c r="Q178" i="2"/>
  <c r="R178" i="2"/>
  <c r="Q166" i="2"/>
  <c r="R166" i="2"/>
  <c r="Q154" i="2"/>
  <c r="R154" i="2"/>
  <c r="Q142" i="2"/>
  <c r="R142" i="2"/>
  <c r="Q130" i="2"/>
  <c r="R130" i="2"/>
  <c r="Q118" i="2"/>
  <c r="R118" i="2"/>
  <c r="Q106" i="2"/>
  <c r="R106" i="2"/>
  <c r="Q94" i="2"/>
  <c r="R94" i="2"/>
  <c r="Q82" i="2"/>
  <c r="R82" i="2"/>
  <c r="Q70" i="2"/>
  <c r="R70" i="2"/>
  <c r="Q58" i="2"/>
  <c r="R58" i="2"/>
  <c r="Q46" i="2"/>
  <c r="R46" i="2"/>
  <c r="Q34" i="2"/>
  <c r="R34" i="2"/>
  <c r="Q22" i="2"/>
  <c r="R22" i="2"/>
  <c r="Q10" i="2"/>
  <c r="R10" i="2"/>
  <c r="Q156" i="2"/>
  <c r="R156" i="2"/>
  <c r="Q120" i="2"/>
  <c r="R120" i="2"/>
  <c r="Q60" i="2"/>
  <c r="R60" i="2"/>
  <c r="Q201" i="2"/>
  <c r="R201" i="2"/>
  <c r="Q189" i="2"/>
  <c r="R189" i="2"/>
  <c r="Q177" i="2"/>
  <c r="R177" i="2"/>
  <c r="Q165" i="2"/>
  <c r="R165" i="2"/>
  <c r="Q153" i="2"/>
  <c r="R153" i="2"/>
  <c r="Q141" i="2"/>
  <c r="R141" i="2"/>
  <c r="Q129" i="2"/>
  <c r="R129" i="2"/>
  <c r="Q117" i="2"/>
  <c r="R117" i="2"/>
  <c r="Q105" i="2"/>
  <c r="R105" i="2"/>
  <c r="Q93" i="2"/>
  <c r="R93" i="2"/>
  <c r="Q81" i="2"/>
  <c r="R81" i="2"/>
  <c r="Q69" i="2"/>
  <c r="R69" i="2"/>
  <c r="Q57" i="2"/>
  <c r="R57" i="2"/>
  <c r="Q45" i="2"/>
  <c r="R45" i="2"/>
  <c r="Q33" i="2"/>
  <c r="R33" i="2"/>
  <c r="Q21" i="2"/>
  <c r="R21" i="2"/>
  <c r="Q9" i="2"/>
  <c r="R9" i="2"/>
  <c r="Q168" i="2"/>
  <c r="R168" i="2"/>
  <c r="Q84" i="2"/>
  <c r="R84" i="2"/>
  <c r="Q24" i="2"/>
  <c r="R24" i="2"/>
  <c r="Q200" i="2"/>
  <c r="R200" i="2"/>
  <c r="Q188" i="2"/>
  <c r="R188" i="2"/>
  <c r="Q176" i="2"/>
  <c r="R176" i="2"/>
  <c r="Q164" i="2"/>
  <c r="R164" i="2"/>
  <c r="Q152" i="2"/>
  <c r="R152" i="2"/>
  <c r="Q140" i="2"/>
  <c r="R140" i="2"/>
  <c r="Q128" i="2"/>
  <c r="R128" i="2"/>
  <c r="Q116" i="2"/>
  <c r="R116" i="2"/>
  <c r="Q104" i="2"/>
  <c r="R104" i="2"/>
  <c r="Q92" i="2"/>
  <c r="R92" i="2"/>
  <c r="Q80" i="2"/>
  <c r="R80" i="2"/>
  <c r="Q68" i="2"/>
  <c r="R68" i="2"/>
  <c r="Q56" i="2"/>
  <c r="R56" i="2"/>
  <c r="Q44" i="2"/>
  <c r="R44" i="2"/>
  <c r="Q32" i="2"/>
  <c r="R32" i="2"/>
  <c r="Q20" i="2"/>
  <c r="R20" i="2"/>
  <c r="Q8" i="2"/>
  <c r="R8" i="2"/>
  <c r="Q192" i="2"/>
  <c r="R192" i="2"/>
  <c r="Q132" i="2"/>
  <c r="R132" i="2"/>
  <c r="Q96" i="2"/>
  <c r="R96" i="2"/>
  <c r="Q36" i="2"/>
  <c r="R36" i="2"/>
  <c r="Q199" i="2"/>
  <c r="R199" i="2"/>
  <c r="Q187" i="2"/>
  <c r="R187" i="2"/>
  <c r="Q175" i="2"/>
  <c r="R175" i="2"/>
  <c r="Q163" i="2"/>
  <c r="R163" i="2"/>
  <c r="Q151" i="2"/>
  <c r="R151" i="2"/>
  <c r="Q139" i="2"/>
  <c r="R139" i="2"/>
  <c r="Q127" i="2"/>
  <c r="R127" i="2"/>
  <c r="Q115" i="2"/>
  <c r="R115" i="2"/>
  <c r="Q103" i="2"/>
  <c r="R103" i="2"/>
  <c r="Q91" i="2"/>
  <c r="R91" i="2"/>
  <c r="Q79" i="2"/>
  <c r="R79" i="2"/>
  <c r="Q67" i="2"/>
  <c r="R67" i="2"/>
  <c r="Q55" i="2"/>
  <c r="R55" i="2"/>
  <c r="Q43" i="2"/>
  <c r="R43" i="2"/>
  <c r="Q31" i="2"/>
  <c r="R31" i="2"/>
  <c r="Q19" i="2"/>
  <c r="R19" i="2"/>
  <c r="Q7" i="2"/>
  <c r="R7" i="2"/>
  <c r="Q198" i="2"/>
  <c r="R198" i="2"/>
  <c r="Q186" i="2"/>
  <c r="R186" i="2"/>
  <c r="Q174" i="2"/>
  <c r="R174" i="2"/>
  <c r="Q162" i="2"/>
  <c r="R162" i="2"/>
  <c r="Q150" i="2"/>
  <c r="R150" i="2"/>
  <c r="Q138" i="2"/>
  <c r="R138" i="2"/>
  <c r="Q126" i="2"/>
  <c r="R126" i="2"/>
  <c r="Q114" i="2"/>
  <c r="R114" i="2"/>
  <c r="Q102" i="2"/>
  <c r="R102" i="2"/>
  <c r="Q90" i="2"/>
  <c r="R90" i="2"/>
  <c r="Q78" i="2"/>
  <c r="R78" i="2"/>
  <c r="Q66" i="2"/>
  <c r="R66" i="2"/>
  <c r="Q54" i="2"/>
  <c r="R54" i="2"/>
  <c r="Q42" i="2"/>
  <c r="R42" i="2"/>
  <c r="Q6" i="2"/>
  <c r="R6" i="2"/>
  <c r="Q197" i="2"/>
  <c r="R197" i="2"/>
  <c r="Q185" i="2"/>
  <c r="R185" i="2"/>
  <c r="Q173" i="2"/>
  <c r="R173" i="2"/>
  <c r="Q161" i="2"/>
  <c r="R161" i="2"/>
  <c r="Q149" i="2"/>
  <c r="R149" i="2"/>
  <c r="Q137" i="2"/>
  <c r="R137" i="2"/>
  <c r="Q125" i="2"/>
  <c r="R125" i="2"/>
  <c r="Q113" i="2"/>
  <c r="R113" i="2"/>
  <c r="Q101" i="2"/>
  <c r="R101" i="2"/>
  <c r="Q89" i="2"/>
  <c r="R89" i="2"/>
  <c r="Q77" i="2"/>
  <c r="R77" i="2"/>
  <c r="Q65" i="2"/>
  <c r="R65" i="2"/>
  <c r="Q53" i="2"/>
  <c r="R53" i="2"/>
  <c r="Q41" i="2"/>
  <c r="R41" i="2"/>
  <c r="Q29" i="2"/>
  <c r="R29" i="2"/>
  <c r="Q17" i="2"/>
  <c r="R17" i="2"/>
  <c r="Q5" i="2"/>
  <c r="R5" i="2"/>
  <c r="Q196" i="2"/>
  <c r="R196" i="2"/>
  <c r="Q184" i="2"/>
  <c r="R184" i="2"/>
  <c r="Q172" i="2"/>
  <c r="R172" i="2"/>
  <c r="Q160" i="2"/>
  <c r="R160" i="2"/>
  <c r="Q148" i="2"/>
  <c r="R148" i="2"/>
  <c r="Q136" i="2"/>
  <c r="R136" i="2"/>
  <c r="Q124" i="2"/>
  <c r="R124" i="2"/>
  <c r="Q112" i="2"/>
  <c r="R112" i="2"/>
  <c r="Q100" i="2"/>
  <c r="R100" i="2"/>
  <c r="Q88" i="2"/>
  <c r="R88" i="2"/>
  <c r="Q76" i="2"/>
  <c r="R76" i="2"/>
  <c r="Q64" i="2"/>
  <c r="R64" i="2"/>
  <c r="Q52" i="2"/>
  <c r="R52" i="2"/>
  <c r="Q40" i="2"/>
  <c r="R40" i="2"/>
  <c r="Q28" i="2"/>
  <c r="R28" i="2"/>
  <c r="Q16" i="2"/>
  <c r="R16" i="2"/>
  <c r="Q4" i="2"/>
  <c r="R4" i="2"/>
  <c r="Q195" i="2"/>
  <c r="R195" i="2"/>
  <c r="Q183" i="2"/>
  <c r="R183" i="2"/>
  <c r="Q171" i="2"/>
  <c r="R171" i="2"/>
  <c r="Q159" i="2"/>
  <c r="R159" i="2"/>
  <c r="Q147" i="2"/>
  <c r="R147" i="2"/>
  <c r="Q135" i="2"/>
  <c r="R135" i="2"/>
  <c r="Q123" i="2"/>
  <c r="R123" i="2"/>
  <c r="Q111" i="2"/>
  <c r="R111" i="2"/>
  <c r="Q99" i="2"/>
  <c r="R99" i="2"/>
  <c r="Q87" i="2"/>
  <c r="R87" i="2"/>
  <c r="Q75" i="2"/>
  <c r="R75" i="2"/>
  <c r="Q63" i="2"/>
  <c r="R63" i="2"/>
  <c r="Q51" i="2"/>
  <c r="R51" i="2"/>
  <c r="Q39" i="2"/>
  <c r="R39" i="2"/>
  <c r="Q27" i="2"/>
  <c r="R27" i="2"/>
  <c r="Q15" i="2"/>
  <c r="R15" i="2"/>
  <c r="Q3" i="2"/>
  <c r="R3" i="2"/>
  <c r="Q194" i="2"/>
  <c r="R194" i="2"/>
  <c r="Q182" i="2"/>
  <c r="R182" i="2"/>
  <c r="Q170" i="2"/>
  <c r="R170" i="2"/>
  <c r="Q158" i="2"/>
  <c r="R158" i="2"/>
  <c r="Q146" i="2"/>
  <c r="R146" i="2"/>
  <c r="Q134" i="2"/>
  <c r="R134" i="2"/>
  <c r="Q122" i="2"/>
  <c r="R122" i="2"/>
  <c r="Q110" i="2"/>
  <c r="R110" i="2"/>
  <c r="Q98" i="2"/>
  <c r="R98" i="2"/>
  <c r="Q86" i="2"/>
  <c r="R86" i="2"/>
  <c r="Q74" i="2"/>
  <c r="R74" i="2"/>
  <c r="Q62" i="2"/>
  <c r="R62" i="2"/>
  <c r="Q50" i="2"/>
  <c r="R50" i="2"/>
  <c r="Q38" i="2"/>
  <c r="R38" i="2"/>
  <c r="Q26" i="2"/>
  <c r="R26" i="2"/>
  <c r="Q14" i="2"/>
  <c r="R14" i="2"/>
  <c r="Q2" i="2"/>
  <c r="R2" i="2"/>
  <c r="P73" i="2"/>
  <c r="Q73" i="2"/>
  <c r="P30" i="2"/>
  <c r="Q30" i="2"/>
  <c r="P18" i="2"/>
  <c r="Q18" i="2"/>
  <c r="M194" i="2"/>
  <c r="N194" i="2" s="1"/>
  <c r="P194" i="2"/>
  <c r="M182" i="2"/>
  <c r="N182" i="2" s="1"/>
  <c r="P182" i="2"/>
  <c r="M170" i="2"/>
  <c r="N170" i="2" s="1"/>
  <c r="P170" i="2"/>
  <c r="M158" i="2"/>
  <c r="N158" i="2" s="1"/>
  <c r="P158" i="2"/>
  <c r="M146" i="2"/>
  <c r="N146" i="2" s="1"/>
  <c r="P146" i="2"/>
  <c r="M134" i="2"/>
  <c r="P134" i="2"/>
  <c r="M122" i="2"/>
  <c r="N122" i="2" s="1"/>
  <c r="P122" i="2"/>
  <c r="M110" i="2"/>
  <c r="P110" i="2"/>
  <c r="M98" i="2"/>
  <c r="N98" i="2" s="1"/>
  <c r="P98" i="2"/>
  <c r="M86" i="2"/>
  <c r="P86" i="2"/>
  <c r="M74" i="2"/>
  <c r="N74" i="2" s="1"/>
  <c r="P74" i="2"/>
  <c r="M62" i="2"/>
  <c r="P62" i="2"/>
  <c r="M193" i="2"/>
  <c r="N193" i="2" s="1"/>
  <c r="P193" i="2"/>
  <c r="M181" i="2"/>
  <c r="N181" i="2" s="1"/>
  <c r="P181" i="2"/>
  <c r="M169" i="2"/>
  <c r="N169" i="2" s="1"/>
  <c r="P169" i="2"/>
  <c r="M157" i="2"/>
  <c r="N157" i="2" s="1"/>
  <c r="P157" i="2"/>
  <c r="M145" i="2"/>
  <c r="N145" i="2" s="1"/>
  <c r="P145" i="2"/>
  <c r="M133" i="2"/>
  <c r="N133" i="2" s="1"/>
  <c r="P133" i="2"/>
  <c r="M121" i="2"/>
  <c r="N121" i="2" s="1"/>
  <c r="P121" i="2"/>
  <c r="M109" i="2"/>
  <c r="N109" i="2" s="1"/>
  <c r="P109" i="2"/>
  <c r="M97" i="2"/>
  <c r="N97" i="2" s="1"/>
  <c r="P97" i="2"/>
  <c r="M85" i="2"/>
  <c r="N85" i="2" s="1"/>
  <c r="P85" i="2"/>
  <c r="M61" i="2"/>
  <c r="N61" i="2" s="1"/>
  <c r="P61" i="2"/>
  <c r="M49" i="2"/>
  <c r="N49" i="2" s="1"/>
  <c r="P49" i="2"/>
  <c r="M37" i="2"/>
  <c r="N37" i="2" s="1"/>
  <c r="P37" i="2"/>
  <c r="M25" i="2"/>
  <c r="N25" i="2" s="1"/>
  <c r="P25" i="2"/>
  <c r="M13" i="2"/>
  <c r="N13" i="2" s="1"/>
  <c r="P13" i="2"/>
  <c r="M192" i="2"/>
  <c r="P192" i="2"/>
  <c r="M180" i="2"/>
  <c r="N180" i="2" s="1"/>
  <c r="P180" i="2"/>
  <c r="M168" i="2"/>
  <c r="P168" i="2"/>
  <c r="M156" i="2"/>
  <c r="N156" i="2" s="1"/>
  <c r="P156" i="2"/>
  <c r="M144" i="2"/>
  <c r="N144" i="2" s="1"/>
  <c r="P144" i="2"/>
  <c r="M132" i="2"/>
  <c r="N132" i="2" s="1"/>
  <c r="P132" i="2"/>
  <c r="M120" i="2"/>
  <c r="P120" i="2"/>
  <c r="M108" i="2"/>
  <c r="N108" i="2" s="1"/>
  <c r="P108" i="2"/>
  <c r="M96" i="2"/>
  <c r="P96" i="2"/>
  <c r="M84" i="2"/>
  <c r="N84" i="2" s="1"/>
  <c r="P84" i="2"/>
  <c r="M72" i="2"/>
  <c r="N72" i="2" s="1"/>
  <c r="P72" i="2"/>
  <c r="M60" i="2"/>
  <c r="N60" i="2" s="1"/>
  <c r="P60" i="2"/>
  <c r="M48" i="2"/>
  <c r="N48" i="2" s="1"/>
  <c r="P48" i="2"/>
  <c r="M36" i="2"/>
  <c r="N36" i="2" s="1"/>
  <c r="P36" i="2"/>
  <c r="M24" i="2"/>
  <c r="N24" i="2" s="1"/>
  <c r="P24" i="2"/>
  <c r="M12" i="2"/>
  <c r="N12" i="2" s="1"/>
  <c r="P12" i="2"/>
  <c r="M191" i="2"/>
  <c r="N191" i="2" s="1"/>
  <c r="P191" i="2"/>
  <c r="M179" i="2"/>
  <c r="N179" i="2" s="1"/>
  <c r="P179" i="2"/>
  <c r="M167" i="2"/>
  <c r="P167" i="2"/>
  <c r="M155" i="2"/>
  <c r="N155" i="2" s="1"/>
  <c r="P155" i="2"/>
  <c r="M143" i="2"/>
  <c r="N143" i="2" s="1"/>
  <c r="P143" i="2"/>
  <c r="M131" i="2"/>
  <c r="N131" i="2" s="1"/>
  <c r="P131" i="2"/>
  <c r="M119" i="2"/>
  <c r="N119" i="2" s="1"/>
  <c r="P119" i="2"/>
  <c r="M107" i="2"/>
  <c r="N107" i="2" s="1"/>
  <c r="P107" i="2"/>
  <c r="M95" i="2"/>
  <c r="P95" i="2"/>
  <c r="M83" i="2"/>
  <c r="N83" i="2" s="1"/>
  <c r="P83" i="2"/>
  <c r="M71" i="2"/>
  <c r="P71" i="2"/>
  <c r="M59" i="2"/>
  <c r="N59" i="2" s="1"/>
  <c r="P59" i="2"/>
  <c r="M47" i="2"/>
  <c r="N47" i="2" s="1"/>
  <c r="P47" i="2"/>
  <c r="M35" i="2"/>
  <c r="N35" i="2" s="1"/>
  <c r="P35" i="2"/>
  <c r="M23" i="2"/>
  <c r="P23" i="2"/>
  <c r="M11" i="2"/>
  <c r="N11" i="2" s="1"/>
  <c r="P11" i="2"/>
  <c r="M190" i="2"/>
  <c r="N190" i="2" s="1"/>
  <c r="P190" i="2"/>
  <c r="M178" i="2"/>
  <c r="N178" i="2" s="1"/>
  <c r="P178" i="2"/>
  <c r="M166" i="2"/>
  <c r="N166" i="2" s="1"/>
  <c r="P166" i="2"/>
  <c r="M154" i="2"/>
  <c r="N154" i="2" s="1"/>
  <c r="P154" i="2"/>
  <c r="M142" i="2"/>
  <c r="N142" i="2" s="1"/>
  <c r="P142" i="2"/>
  <c r="M130" i="2"/>
  <c r="N130" i="2" s="1"/>
  <c r="P130" i="2"/>
  <c r="M118" i="2"/>
  <c r="N118" i="2" s="1"/>
  <c r="P118" i="2"/>
  <c r="M106" i="2"/>
  <c r="N106" i="2" s="1"/>
  <c r="P106" i="2"/>
  <c r="M94" i="2"/>
  <c r="N94" i="2" s="1"/>
  <c r="P94" i="2"/>
  <c r="M82" i="2"/>
  <c r="N82" i="2" s="1"/>
  <c r="P82" i="2"/>
  <c r="M70" i="2"/>
  <c r="N70" i="2" s="1"/>
  <c r="P70" i="2"/>
  <c r="M58" i="2"/>
  <c r="N58" i="2" s="1"/>
  <c r="P58" i="2"/>
  <c r="M46" i="2"/>
  <c r="P46" i="2"/>
  <c r="M34" i="2"/>
  <c r="N34" i="2" s="1"/>
  <c r="P34" i="2"/>
  <c r="M22" i="2"/>
  <c r="N22" i="2" s="1"/>
  <c r="P22" i="2"/>
  <c r="M10" i="2"/>
  <c r="P10" i="2"/>
  <c r="M201" i="2"/>
  <c r="N201" i="2" s="1"/>
  <c r="P201" i="2"/>
  <c r="M189" i="2"/>
  <c r="N189" i="2" s="1"/>
  <c r="P189" i="2"/>
  <c r="M177" i="2"/>
  <c r="P177" i="2"/>
  <c r="M165" i="2"/>
  <c r="N165" i="2" s="1"/>
  <c r="P165" i="2"/>
  <c r="M153" i="2"/>
  <c r="N153" i="2" s="1"/>
  <c r="P153" i="2"/>
  <c r="M141" i="2"/>
  <c r="N141" i="2" s="1"/>
  <c r="P141" i="2"/>
  <c r="M129" i="2"/>
  <c r="N129" i="2" s="1"/>
  <c r="P129" i="2"/>
  <c r="M117" i="2"/>
  <c r="N117" i="2" s="1"/>
  <c r="P117" i="2"/>
  <c r="M105" i="2"/>
  <c r="P105" i="2"/>
  <c r="M93" i="2"/>
  <c r="N93" i="2" s="1"/>
  <c r="P93" i="2"/>
  <c r="M81" i="2"/>
  <c r="P81" i="2"/>
  <c r="M69" i="2"/>
  <c r="N69" i="2" s="1"/>
  <c r="P69" i="2"/>
  <c r="M57" i="2"/>
  <c r="P57" i="2"/>
  <c r="M45" i="2"/>
  <c r="N45" i="2" s="1"/>
  <c r="P45" i="2"/>
  <c r="M33" i="2"/>
  <c r="N33" i="2" s="1"/>
  <c r="P33" i="2"/>
  <c r="M21" i="2"/>
  <c r="N21" i="2" s="1"/>
  <c r="P21" i="2"/>
  <c r="M9" i="2"/>
  <c r="N9" i="2" s="1"/>
  <c r="P9" i="2"/>
  <c r="M200" i="2"/>
  <c r="N200" i="2" s="1"/>
  <c r="P200" i="2"/>
  <c r="M188" i="2"/>
  <c r="N188" i="2" s="1"/>
  <c r="P188" i="2"/>
  <c r="M176" i="2"/>
  <c r="N176" i="2" s="1"/>
  <c r="P176" i="2"/>
  <c r="M164" i="2"/>
  <c r="N164" i="2" s="1"/>
  <c r="P164" i="2"/>
  <c r="M152" i="2"/>
  <c r="N152" i="2" s="1"/>
  <c r="P152" i="2"/>
  <c r="M140" i="2"/>
  <c r="P140" i="2"/>
  <c r="M128" i="2"/>
  <c r="P128" i="2"/>
  <c r="M116" i="2"/>
  <c r="P116" i="2"/>
  <c r="M104" i="2"/>
  <c r="N104" i="2" s="1"/>
  <c r="P104" i="2"/>
  <c r="M92" i="2"/>
  <c r="P92" i="2"/>
  <c r="M80" i="2"/>
  <c r="N80" i="2" s="1"/>
  <c r="P80" i="2"/>
  <c r="M68" i="2"/>
  <c r="N68" i="2" s="1"/>
  <c r="P68" i="2"/>
  <c r="M56" i="2"/>
  <c r="N56" i="2" s="1"/>
  <c r="P56" i="2"/>
  <c r="M44" i="2"/>
  <c r="N44" i="2" s="1"/>
  <c r="P44" i="2"/>
  <c r="M32" i="2"/>
  <c r="N32" i="2" s="1"/>
  <c r="P32" i="2"/>
  <c r="M20" i="2"/>
  <c r="N20" i="2" s="1"/>
  <c r="P20" i="2"/>
  <c r="M8" i="2"/>
  <c r="N8" i="2" s="1"/>
  <c r="P8" i="2"/>
  <c r="M199" i="2"/>
  <c r="P199" i="2"/>
  <c r="M187" i="2"/>
  <c r="N187" i="2" s="1"/>
  <c r="P187" i="2"/>
  <c r="M175" i="2"/>
  <c r="N175" i="2" s="1"/>
  <c r="P175" i="2"/>
  <c r="M163" i="2"/>
  <c r="N163" i="2" s="1"/>
  <c r="P163" i="2"/>
  <c r="M151" i="2"/>
  <c r="P151" i="2"/>
  <c r="M139" i="2"/>
  <c r="N139" i="2" s="1"/>
  <c r="P139" i="2"/>
  <c r="M127" i="2"/>
  <c r="N127" i="2" s="1"/>
  <c r="P127" i="2"/>
  <c r="M115" i="2"/>
  <c r="N115" i="2" s="1"/>
  <c r="P115" i="2"/>
  <c r="M103" i="2"/>
  <c r="P103" i="2"/>
  <c r="M91" i="2"/>
  <c r="N91" i="2" s="1"/>
  <c r="P91" i="2"/>
  <c r="M79" i="2"/>
  <c r="N79" i="2" s="1"/>
  <c r="P79" i="2"/>
  <c r="M67" i="2"/>
  <c r="N67" i="2" s="1"/>
  <c r="P67" i="2"/>
  <c r="M55" i="2"/>
  <c r="P55" i="2"/>
  <c r="M43" i="2"/>
  <c r="N43" i="2" s="1"/>
  <c r="P43" i="2"/>
  <c r="M31" i="2"/>
  <c r="N31" i="2" s="1"/>
  <c r="P31" i="2"/>
  <c r="M19" i="2"/>
  <c r="N19" i="2" s="1"/>
  <c r="P19" i="2"/>
  <c r="M7" i="2"/>
  <c r="P7" i="2"/>
  <c r="O198" i="2"/>
  <c r="P198" i="2"/>
  <c r="O186" i="2"/>
  <c r="P186" i="2"/>
  <c r="M174" i="2"/>
  <c r="N174" i="2" s="1"/>
  <c r="P174" i="2"/>
  <c r="M162" i="2"/>
  <c r="N162" i="2" s="1"/>
  <c r="P162" i="2"/>
  <c r="M150" i="2"/>
  <c r="N150" i="2" s="1"/>
  <c r="P150" i="2"/>
  <c r="O138" i="2"/>
  <c r="P138" i="2"/>
  <c r="O126" i="2"/>
  <c r="P126" i="2"/>
  <c r="O114" i="2"/>
  <c r="P114" i="2"/>
  <c r="M102" i="2"/>
  <c r="N102" i="2" s="1"/>
  <c r="P102" i="2"/>
  <c r="M90" i="2"/>
  <c r="N90" i="2" s="1"/>
  <c r="P90" i="2"/>
  <c r="M78" i="2"/>
  <c r="P78" i="2"/>
  <c r="O66" i="2"/>
  <c r="P66" i="2"/>
  <c r="O54" i="2"/>
  <c r="P54" i="2"/>
  <c r="O42" i="2"/>
  <c r="P42" i="2"/>
  <c r="M6" i="2"/>
  <c r="N6" i="2" s="1"/>
  <c r="P6" i="2"/>
  <c r="M197" i="2"/>
  <c r="P197" i="2"/>
  <c r="M185" i="2"/>
  <c r="N185" i="2" s="1"/>
  <c r="P185" i="2"/>
  <c r="M173" i="2"/>
  <c r="P173" i="2"/>
  <c r="M161" i="2"/>
  <c r="P161" i="2"/>
  <c r="M149" i="2"/>
  <c r="P149" i="2"/>
  <c r="M137" i="2"/>
  <c r="N137" i="2" s="1"/>
  <c r="P137" i="2"/>
  <c r="M125" i="2"/>
  <c r="N125" i="2" s="1"/>
  <c r="P125" i="2"/>
  <c r="M113" i="2"/>
  <c r="N113" i="2" s="1"/>
  <c r="P113" i="2"/>
  <c r="M101" i="2"/>
  <c r="N101" i="2" s="1"/>
  <c r="P101" i="2"/>
  <c r="M89" i="2"/>
  <c r="N89" i="2" s="1"/>
  <c r="P89" i="2"/>
  <c r="M77" i="2"/>
  <c r="P77" i="2"/>
  <c r="M65" i="2"/>
  <c r="P65" i="2"/>
  <c r="M53" i="2"/>
  <c r="N53" i="2" s="1"/>
  <c r="P53" i="2"/>
  <c r="M41" i="2"/>
  <c r="N41" i="2" s="1"/>
  <c r="P41" i="2"/>
  <c r="M29" i="2"/>
  <c r="P29" i="2"/>
  <c r="M17" i="2"/>
  <c r="N17" i="2" s="1"/>
  <c r="P17" i="2"/>
  <c r="M5" i="2"/>
  <c r="P5" i="2"/>
  <c r="M196" i="2"/>
  <c r="N196" i="2" s="1"/>
  <c r="P196" i="2"/>
  <c r="M184" i="2"/>
  <c r="P184" i="2"/>
  <c r="M172" i="2"/>
  <c r="N172" i="2" s="1"/>
  <c r="P172" i="2"/>
  <c r="M160" i="2"/>
  <c r="N160" i="2" s="1"/>
  <c r="P160" i="2"/>
  <c r="M148" i="2"/>
  <c r="N148" i="2" s="1"/>
  <c r="P148" i="2"/>
  <c r="M136" i="2"/>
  <c r="P136" i="2"/>
  <c r="M124" i="2"/>
  <c r="N124" i="2" s="1"/>
  <c r="P124" i="2"/>
  <c r="M112" i="2"/>
  <c r="N112" i="2" s="1"/>
  <c r="P112" i="2"/>
  <c r="M100" i="2"/>
  <c r="N100" i="2" s="1"/>
  <c r="P100" i="2"/>
  <c r="M88" i="2"/>
  <c r="P88" i="2"/>
  <c r="M76" i="2"/>
  <c r="N76" i="2" s="1"/>
  <c r="P76" i="2"/>
  <c r="M64" i="2"/>
  <c r="P64" i="2"/>
  <c r="M52" i="2"/>
  <c r="N52" i="2" s="1"/>
  <c r="P52" i="2"/>
  <c r="M40" i="2"/>
  <c r="P40" i="2"/>
  <c r="M28" i="2"/>
  <c r="N28" i="2" s="1"/>
  <c r="P28" i="2"/>
  <c r="M16" i="2"/>
  <c r="P16" i="2"/>
  <c r="M4" i="2"/>
  <c r="P4" i="2"/>
  <c r="M195" i="2"/>
  <c r="P195" i="2"/>
  <c r="M183" i="2"/>
  <c r="N183" i="2" s="1"/>
  <c r="P183" i="2"/>
  <c r="M171" i="2"/>
  <c r="N171" i="2" s="1"/>
  <c r="P171" i="2"/>
  <c r="M159" i="2"/>
  <c r="N159" i="2" s="1"/>
  <c r="P159" i="2"/>
  <c r="M147" i="2"/>
  <c r="N147" i="2" s="1"/>
  <c r="P147" i="2"/>
  <c r="M135" i="2"/>
  <c r="N135" i="2" s="1"/>
  <c r="P135" i="2"/>
  <c r="M123" i="2"/>
  <c r="P123" i="2"/>
  <c r="M111" i="2"/>
  <c r="N111" i="2" s="1"/>
  <c r="P111" i="2"/>
  <c r="M99" i="2"/>
  <c r="P99" i="2"/>
  <c r="M87" i="2"/>
  <c r="N87" i="2" s="1"/>
  <c r="P87" i="2"/>
  <c r="M75" i="2"/>
  <c r="P75" i="2"/>
  <c r="M63" i="2"/>
  <c r="N63" i="2" s="1"/>
  <c r="P63" i="2"/>
  <c r="M51" i="2"/>
  <c r="N51" i="2" s="1"/>
  <c r="P51" i="2"/>
  <c r="O39" i="2"/>
  <c r="P39" i="2"/>
  <c r="M27" i="2"/>
  <c r="N27" i="2" s="1"/>
  <c r="P27" i="2"/>
  <c r="M15" i="2"/>
  <c r="N15" i="2" s="1"/>
  <c r="P15" i="2"/>
  <c r="M3" i="2"/>
  <c r="N3" i="2" s="1"/>
  <c r="P3" i="2"/>
  <c r="M50" i="2"/>
  <c r="N50" i="2" s="1"/>
  <c r="P50" i="2"/>
  <c r="M38" i="2"/>
  <c r="N38" i="2" s="1"/>
  <c r="P38" i="2"/>
  <c r="M26" i="2"/>
  <c r="N26" i="2" s="1"/>
  <c r="P26" i="2"/>
  <c r="M14" i="2"/>
  <c r="P14" i="2"/>
  <c r="O2" i="2"/>
  <c r="P2" i="2"/>
  <c r="O193" i="2"/>
  <c r="O181" i="2"/>
  <c r="O169" i="2"/>
  <c r="O157" i="2"/>
  <c r="O145" i="2"/>
  <c r="O133" i="2"/>
  <c r="O121" i="2"/>
  <c r="O109" i="2"/>
  <c r="O97" i="2"/>
  <c r="O85" i="2"/>
  <c r="O73" i="2"/>
  <c r="O61" i="2"/>
  <c r="O49" i="2"/>
  <c r="O37" i="2"/>
  <c r="O25" i="2"/>
  <c r="O13" i="2"/>
  <c r="O192" i="2"/>
  <c r="O180" i="2"/>
  <c r="O168" i="2"/>
  <c r="O156" i="2"/>
  <c r="O144" i="2"/>
  <c r="O132" i="2"/>
  <c r="O120" i="2"/>
  <c r="O108" i="2"/>
  <c r="O96" i="2"/>
  <c r="O84" i="2"/>
  <c r="O72" i="2"/>
  <c r="O60" i="2"/>
  <c r="O48" i="2"/>
  <c r="O36" i="2"/>
  <c r="O24" i="2"/>
  <c r="O12" i="2"/>
  <c r="O191" i="2"/>
  <c r="O179" i="2"/>
  <c r="O167" i="2"/>
  <c r="O155" i="2"/>
  <c r="O143" i="2"/>
  <c r="O131" i="2"/>
  <c r="O119" i="2"/>
  <c r="O107" i="2"/>
  <c r="O95" i="2"/>
  <c r="O83" i="2"/>
  <c r="O71" i="2"/>
  <c r="O59" i="2"/>
  <c r="O47" i="2"/>
  <c r="O35" i="2"/>
  <c r="O23" i="2"/>
  <c r="O11" i="2"/>
  <c r="O190" i="2"/>
  <c r="O178" i="2"/>
  <c r="O166" i="2"/>
  <c r="O154" i="2"/>
  <c r="O142" i="2"/>
  <c r="O130" i="2"/>
  <c r="O118" i="2"/>
  <c r="O106" i="2"/>
  <c r="O94" i="2"/>
  <c r="O82" i="2"/>
  <c r="O70" i="2"/>
  <c r="O58" i="2"/>
  <c r="O46" i="2"/>
  <c r="O34" i="2"/>
  <c r="O22" i="2"/>
  <c r="O10" i="2"/>
  <c r="O201" i="2"/>
  <c r="O189" i="2"/>
  <c r="O177" i="2"/>
  <c r="O165" i="2"/>
  <c r="O153" i="2"/>
  <c r="O141" i="2"/>
  <c r="O129" i="2"/>
  <c r="O117" i="2"/>
  <c r="O105" i="2"/>
  <c r="O93" i="2"/>
  <c r="O81" i="2"/>
  <c r="O69" i="2"/>
  <c r="O57" i="2"/>
  <c r="O45" i="2"/>
  <c r="O33" i="2"/>
  <c r="O21" i="2"/>
  <c r="O9" i="2"/>
  <c r="N123" i="2"/>
  <c r="O200" i="2"/>
  <c r="O188" i="2"/>
  <c r="O176" i="2"/>
  <c r="O164" i="2"/>
  <c r="O152" i="2"/>
  <c r="O140" i="2"/>
  <c r="O128" i="2"/>
  <c r="O116" i="2"/>
  <c r="O104" i="2"/>
  <c r="O92" i="2"/>
  <c r="O80" i="2"/>
  <c r="O68" i="2"/>
  <c r="O56" i="2"/>
  <c r="O44" i="2"/>
  <c r="O32" i="2"/>
  <c r="O20" i="2"/>
  <c r="O8" i="2"/>
  <c r="M73" i="2"/>
  <c r="N73" i="2" s="1"/>
  <c r="O199" i="2"/>
  <c r="O187" i="2"/>
  <c r="O175" i="2"/>
  <c r="O163" i="2"/>
  <c r="O151" i="2"/>
  <c r="O139" i="2"/>
  <c r="O127" i="2"/>
  <c r="O115" i="2"/>
  <c r="O103" i="2"/>
  <c r="O91" i="2"/>
  <c r="O79" i="2"/>
  <c r="O67" i="2"/>
  <c r="O55" i="2"/>
  <c r="O43" i="2"/>
  <c r="O31" i="2"/>
  <c r="O19" i="2"/>
  <c r="O7" i="2"/>
  <c r="N78" i="2"/>
  <c r="M39" i="2"/>
  <c r="N39" i="2" s="1"/>
  <c r="N99" i="2"/>
  <c r="O174" i="2"/>
  <c r="O162" i="2"/>
  <c r="O150" i="2"/>
  <c r="O102" i="2"/>
  <c r="O90" i="2"/>
  <c r="O78" i="2"/>
  <c r="O30" i="2"/>
  <c r="O18" i="2"/>
  <c r="O6" i="2"/>
  <c r="M30" i="2"/>
  <c r="N30" i="2" s="1"/>
  <c r="O197" i="2"/>
  <c r="O185" i="2"/>
  <c r="O173" i="2"/>
  <c r="O161" i="2"/>
  <c r="O149" i="2"/>
  <c r="O137" i="2"/>
  <c r="O125" i="2"/>
  <c r="O113" i="2"/>
  <c r="O101" i="2"/>
  <c r="O89" i="2"/>
  <c r="O77" i="2"/>
  <c r="O65" i="2"/>
  <c r="O53" i="2"/>
  <c r="O41" i="2"/>
  <c r="O29" i="2"/>
  <c r="O17" i="2"/>
  <c r="O5" i="2"/>
  <c r="N75" i="2"/>
  <c r="O196" i="2"/>
  <c r="O184" i="2"/>
  <c r="O172" i="2"/>
  <c r="O160" i="2"/>
  <c r="O148" i="2"/>
  <c r="O136" i="2"/>
  <c r="O124" i="2"/>
  <c r="O112" i="2"/>
  <c r="O100" i="2"/>
  <c r="O88" i="2"/>
  <c r="O76" i="2"/>
  <c r="O64" i="2"/>
  <c r="O52" i="2"/>
  <c r="O40" i="2"/>
  <c r="O28" i="2"/>
  <c r="O16" i="2"/>
  <c r="O4" i="2"/>
  <c r="M18" i="2"/>
  <c r="N18" i="2" s="1"/>
  <c r="O195" i="2"/>
  <c r="O183" i="2"/>
  <c r="O171" i="2"/>
  <c r="O159" i="2"/>
  <c r="O147" i="2"/>
  <c r="O135" i="2"/>
  <c r="O123" i="2"/>
  <c r="O111" i="2"/>
  <c r="O99" i="2"/>
  <c r="O87" i="2"/>
  <c r="O75" i="2"/>
  <c r="O63" i="2"/>
  <c r="O51" i="2"/>
  <c r="O27" i="2"/>
  <c r="O15" i="2"/>
  <c r="O3" i="2"/>
  <c r="N195" i="2"/>
  <c r="O194" i="2"/>
  <c r="O182" i="2"/>
  <c r="O170" i="2"/>
  <c r="O158" i="2"/>
  <c r="O146" i="2"/>
  <c r="O134" i="2"/>
  <c r="O122" i="2"/>
  <c r="O110" i="2"/>
  <c r="O98" i="2"/>
  <c r="O86" i="2"/>
  <c r="O74" i="2"/>
  <c r="O62" i="2"/>
  <c r="O50" i="2"/>
  <c r="O38" i="2"/>
  <c r="O26" i="2"/>
  <c r="O14" i="2"/>
  <c r="N192" i="2"/>
  <c r="N168" i="2"/>
  <c r="N120" i="2"/>
  <c r="N96" i="2"/>
  <c r="M138" i="2"/>
  <c r="N138" i="2" s="1"/>
  <c r="M66" i="2"/>
  <c r="N66" i="2" s="1"/>
  <c r="N167" i="2"/>
  <c r="N95" i="2"/>
  <c r="N71" i="2"/>
  <c r="N23" i="2"/>
  <c r="N46" i="2"/>
  <c r="N10" i="2"/>
  <c r="M198" i="2"/>
  <c r="N198" i="2" s="1"/>
  <c r="M126" i="2"/>
  <c r="N126" i="2" s="1"/>
  <c r="M54" i="2"/>
  <c r="N54" i="2" s="1"/>
  <c r="N177" i="2"/>
  <c r="N105" i="2"/>
  <c r="N81" i="2"/>
  <c r="N57" i="2"/>
  <c r="N140" i="2"/>
  <c r="N128" i="2"/>
  <c r="N116" i="2"/>
  <c r="N92" i="2"/>
  <c r="M186" i="2"/>
  <c r="N186" i="2" s="1"/>
  <c r="M114" i="2"/>
  <c r="N114" i="2" s="1"/>
  <c r="N199" i="2"/>
  <c r="N151" i="2"/>
  <c r="N103" i="2"/>
  <c r="N55" i="2"/>
  <c r="N7" i="2"/>
  <c r="M42" i="2"/>
  <c r="N42" i="2" s="1"/>
  <c r="N197" i="2"/>
  <c r="N173" i="2"/>
  <c r="N161" i="2"/>
  <c r="N149" i="2"/>
  <c r="N77" i="2"/>
  <c r="N65" i="2"/>
  <c r="N29" i="2"/>
  <c r="N5" i="2"/>
  <c r="N184" i="2"/>
  <c r="N136" i="2"/>
  <c r="N88" i="2"/>
  <c r="N64" i="2"/>
  <c r="N40" i="2"/>
  <c r="N16" i="2"/>
  <c r="N4" i="2"/>
  <c r="N134" i="2"/>
  <c r="N110" i="2"/>
  <c r="N86" i="2"/>
  <c r="N62" i="2"/>
  <c r="N14" i="2"/>
  <c r="M2" i="2"/>
  <c r="N2" i="2" s="1"/>
  <c r="B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39C19B-8A81-4E25-9E1F-0B5EF89BE75E}" keepAlive="1" name="Query - Crypto_Data" description="Connection to the 'Crypto_Data' query in the workbook." type="5" refreshedVersion="8" background="1" saveData="1">
    <dbPr connection="Provider=Microsoft.Mashup.OleDb.1;Data Source=$Workbook$;Location=Crypto_Data;Extended Properties=&quot;&quot;" command="SELECT * FROM [Crypto_Data]"/>
  </connection>
  <connection id="2" xr16:uid="{5F0B8062-7C33-448B-A8DC-90428FA4854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FE40F1CF-B61A-4E03-9437-5DAA37C2A00C}" name="WorksheetConnection_Crypto_Analysis_Task.xlsm!Crypto_Data__2" type="102" refreshedVersion="8" minRefreshableVersion="5">
    <extLst>
      <ext xmlns:x15="http://schemas.microsoft.com/office/spreadsheetml/2010/11/main" uri="{DE250136-89BD-433C-8126-D09CA5730AF9}">
        <x15:connection id="Crypto_Data__2" autoDelete="1">
          <x15:rangePr sourceName="_xlcn.WorksheetConnection_Crypto_Analysis_Task.xlsmCrypto_Data__2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Crypto_Data__2].[Price Category].&amp;[$0-$50]}"/>
  </metadataStrings>
  <mdxMetadata count="1">
    <mdx n="0" f="s">
      <ms ns="1" c="0"/>
    </mdx>
  </mdxMetadata>
  <valueMetadata count="1">
    <bk>
      <rc t="1" v="0"/>
    </bk>
  </valueMetadata>
</metadata>
</file>

<file path=xl/sharedStrings.xml><?xml version="1.0" encoding="utf-8"?>
<sst xmlns="http://schemas.openxmlformats.org/spreadsheetml/2006/main" count="3128" uniqueCount="1290">
  <si>
    <t>Coin Name</t>
  </si>
  <si>
    <t>Symbol</t>
  </si>
  <si>
    <t>Price (USD)</t>
  </si>
  <si>
    <t>1h Change (%)</t>
  </si>
  <si>
    <t>Market Cap</t>
  </si>
  <si>
    <t>Volume (24h) USD</t>
  </si>
  <si>
    <t>Circulating Supply</t>
  </si>
  <si>
    <t>Bitcoin</t>
  </si>
  <si>
    <t>BTC</t>
  </si>
  <si>
    <t>$112,396.23</t>
  </si>
  <si>
    <t>0.68%</t>
  </si>
  <si>
    <t>$2,236,591,973,065</t>
  </si>
  <si>
    <t>$61,196,410,006</t>
  </si>
  <si>
    <t>19.91M</t>
  </si>
  <si>
    <t>Ethereum</t>
  </si>
  <si>
    <t>ETH</t>
  </si>
  <si>
    <t>$4,631.69</t>
  </si>
  <si>
    <t>0.43%</t>
  </si>
  <si>
    <t>$558,774,287,294</t>
  </si>
  <si>
    <t>$43,714,609,700</t>
  </si>
  <si>
    <t>120.7M</t>
  </si>
  <si>
    <t>XRP</t>
  </si>
  <si>
    <t>$3.02</t>
  </si>
  <si>
    <t>0.45%</t>
  </si>
  <si>
    <t>$179,761,935,139</t>
  </si>
  <si>
    <t>$6,447,508,710</t>
  </si>
  <si>
    <t>59.48B</t>
  </si>
  <si>
    <t>Tether</t>
  </si>
  <si>
    <t>USDT</t>
  </si>
  <si>
    <t>$1.00</t>
  </si>
  <si>
    <t>0.07%</t>
  </si>
  <si>
    <t>$167,211,922,205</t>
  </si>
  <si>
    <t>$117,252,093,277</t>
  </si>
  <si>
    <t>167.2B</t>
  </si>
  <si>
    <t>BNB</t>
  </si>
  <si>
    <t>$864.91</t>
  </si>
  <si>
    <t>0.24%</t>
  </si>
  <si>
    <t>$120,460,279,991</t>
  </si>
  <si>
    <t>$2,278,674,127</t>
  </si>
  <si>
    <t>139.28M</t>
  </si>
  <si>
    <t>Solana</t>
  </si>
  <si>
    <t>SOL</t>
  </si>
  <si>
    <t>$208.97</t>
  </si>
  <si>
    <t>0.78%</t>
  </si>
  <si>
    <t>$112,989,075,044</t>
  </si>
  <si>
    <t>$10,127,054,144</t>
  </si>
  <si>
    <t>540.67M</t>
  </si>
  <si>
    <t>USDC</t>
  </si>
  <si>
    <t>$0.9997</t>
  </si>
  <si>
    <t>0.06%</t>
  </si>
  <si>
    <t>$69,140,705,171</t>
  </si>
  <si>
    <t>$17,027,792,821</t>
  </si>
  <si>
    <t>69.15B</t>
  </si>
  <si>
    <t>Dogecoin</t>
  </si>
  <si>
    <t>DOGE</t>
  </si>
  <si>
    <t>$0.2217</t>
  </si>
  <si>
    <t>0.67%</t>
  </si>
  <si>
    <t>$33,418,883,909</t>
  </si>
  <si>
    <t>$1,961,967,012</t>
  </si>
  <si>
    <t>150.69B</t>
  </si>
  <si>
    <t>TRON</t>
  </si>
  <si>
    <t>TRX</t>
  </si>
  <si>
    <t>$0.3502</t>
  </si>
  <si>
    <t>0.10%</t>
  </si>
  <si>
    <t>$33,151,724,508</t>
  </si>
  <si>
    <t>$973,139,421</t>
  </si>
  <si>
    <t>94.66B</t>
  </si>
  <si>
    <t>Cardano</t>
  </si>
  <si>
    <t>ADA</t>
  </si>
  <si>
    <t>$0.8693</t>
  </si>
  <si>
    <t>0.32%</t>
  </si>
  <si>
    <t>$31,055,700,401</t>
  </si>
  <si>
    <t>$1,153,461,846</t>
  </si>
  <si>
    <t>35.72B</t>
  </si>
  <si>
    <t>Ripple USD</t>
  </si>
  <si>
    <t>RLUSD</t>
  </si>
  <si>
    <t>$0.9995</t>
  </si>
  <si>
    <t>0.01%</t>
  </si>
  <si>
    <t>$687,657,857</t>
  </si>
  <si>
    <t>$64,711,407</t>
  </si>
  <si>
    <t>687.95M</t>
  </si>
  <si>
    <t>Zcash</t>
  </si>
  <si>
    <t>ZEC</t>
  </si>
  <si>
    <t>$42.45</t>
  </si>
  <si>
    <t>0.80%</t>
  </si>
  <si>
    <t>$687,228,061</t>
  </si>
  <si>
    <t>$71,132,312</t>
  </si>
  <si>
    <t>16.18M</t>
  </si>
  <si>
    <t>AB</t>
  </si>
  <si>
    <t>$0.009181</t>
  </si>
  <si>
    <t>0.30%</t>
  </si>
  <si>
    <t>$683,949,558</t>
  </si>
  <si>
    <t>$29,038,108</t>
  </si>
  <si>
    <t>74.48B</t>
  </si>
  <si>
    <t>Pyth Network</t>
  </si>
  <si>
    <t>PYTH</t>
  </si>
  <si>
    <t>$0.1171</t>
  </si>
  <si>
    <t>0.52%</t>
  </si>
  <si>
    <t>$673,440,961</t>
  </si>
  <si>
    <t>$24,411,942</t>
  </si>
  <si>
    <t>5.74B</t>
  </si>
  <si>
    <t>BitTorrent [New]</t>
  </si>
  <si>
    <t>BTT</t>
  </si>
  <si>
    <t>$0.066662</t>
  </si>
  <si>
    <t>$656,968,217</t>
  </si>
  <si>
    <t>$29,706,225</t>
  </si>
  <si>
    <t>986.06T</t>
  </si>
  <si>
    <t>Flow</t>
  </si>
  <si>
    <t>FLOW</t>
  </si>
  <si>
    <t>$0.3909</t>
  </si>
  <si>
    <t>0.15%</t>
  </si>
  <si>
    <t>$626,962,319</t>
  </si>
  <si>
    <t>$21,684,159</t>
  </si>
  <si>
    <t>1.6B</t>
  </si>
  <si>
    <t>DeXe</t>
  </si>
  <si>
    <t>DEXE</t>
  </si>
  <si>
    <t>$7.42</t>
  </si>
  <si>
    <t>$621,864,440</t>
  </si>
  <si>
    <t>$7,491,105</t>
  </si>
  <si>
    <t>83.73M</t>
  </si>
  <si>
    <t>BUILDon</t>
  </si>
  <si>
    <t>B</t>
  </si>
  <si>
    <t>$0.5774</t>
  </si>
  <si>
    <t>0.11%</t>
  </si>
  <si>
    <t>$577,405,381</t>
  </si>
  <si>
    <t>$23,722,335</t>
  </si>
  <si>
    <t>1B</t>
  </si>
  <si>
    <t>Walrus</t>
  </si>
  <si>
    <t>WAL</t>
  </si>
  <si>
    <t>$0.4049</t>
  </si>
  <si>
    <t>0.33%</t>
  </si>
  <si>
    <t>$572,387,192</t>
  </si>
  <si>
    <t>$19,083,906</t>
  </si>
  <si>
    <t>1.41B</t>
  </si>
  <si>
    <t>Decentraland</t>
  </si>
  <si>
    <t>MANA</t>
  </si>
  <si>
    <t>$0.2882</t>
  </si>
  <si>
    <t>0.39%</t>
  </si>
  <si>
    <t>$567,782,071</t>
  </si>
  <si>
    <t>$27,296,450</t>
  </si>
  <si>
    <t>1.96B</t>
  </si>
  <si>
    <t>Fasttoken</t>
  </si>
  <si>
    <t>FTN</t>
  </si>
  <si>
    <t>$4.54</t>
  </si>
  <si>
    <t>0.04%</t>
  </si>
  <si>
    <t>$1,982,420,729</t>
  </si>
  <si>
    <t>$64,466,358</t>
  </si>
  <si>
    <t>436.26M</t>
  </si>
  <si>
    <t>Jupiter Perps LP</t>
  </si>
  <si>
    <t>JLP</t>
  </si>
  <si>
    <t>$5.48</t>
  </si>
  <si>
    <t>0.47%</t>
  </si>
  <si>
    <t>$1,955,931,785</t>
  </si>
  <si>
    <t>$26,985,300</t>
  </si>
  <si>
    <t>356.55M</t>
  </si>
  <si>
    <t>Falcon USD</t>
  </si>
  <si>
    <t>USDf</t>
  </si>
  <si>
    <t>0.02%</t>
  </si>
  <si>
    <t>$1,253,095,193</t>
  </si>
  <si>
    <t>$30,789,467</t>
  </si>
  <si>
    <t>1.25B</t>
  </si>
  <si>
    <t>Loaded Lions</t>
  </si>
  <si>
    <t>LION</t>
  </si>
  <si>
    <t>$0.02395</t>
  </si>
  <si>
    <t>0.22%</t>
  </si>
  <si>
    <t>$738,956,737</t>
  </si>
  <si>
    <t>$8,289,454</t>
  </si>
  <si>
    <t>30.84B</t>
  </si>
  <si>
    <t>Ondo US Dollar Yield</t>
  </si>
  <si>
    <t>USDY</t>
  </si>
  <si>
    <t>$1.10</t>
  </si>
  <si>
    <t>$691,597,867</t>
  </si>
  <si>
    <t>$1,338,625</t>
  </si>
  <si>
    <t>626.67M</t>
  </si>
  <si>
    <t>Usual USD</t>
  </si>
  <si>
    <t>USD0</t>
  </si>
  <si>
    <t>$0.9983</t>
  </si>
  <si>
    <t>0.00%</t>
  </si>
  <si>
    <t>$642,088,143</t>
  </si>
  <si>
    <t>$4,463,129</t>
  </si>
  <si>
    <t>643.12M</t>
  </si>
  <si>
    <t>Vision</t>
  </si>
  <si>
    <t>VSN</t>
  </si>
  <si>
    <t>$0.1745</t>
  </si>
  <si>
    <t>0.59%</t>
  </si>
  <si>
    <t>$607,020,903</t>
  </si>
  <si>
    <t>$1,377,265</t>
  </si>
  <si>
    <t>3.47B</t>
  </si>
  <si>
    <t>Beldex</t>
  </si>
  <si>
    <t>BDX</t>
  </si>
  <si>
    <t>$0.07629</t>
  </si>
  <si>
    <t>0.23%</t>
  </si>
  <si>
    <t>$545,355,889</t>
  </si>
  <si>
    <t>$4,396,792</t>
  </si>
  <si>
    <t>7.14B</t>
  </si>
  <si>
    <t>Global Dollar</t>
  </si>
  <si>
    <t>USDG</t>
  </si>
  <si>
    <t>$0.9998</t>
  </si>
  <si>
    <t>0.03%</t>
  </si>
  <si>
    <t>$538,269,461</t>
  </si>
  <si>
    <t>$5,715,956</t>
  </si>
  <si>
    <t>538.36M</t>
  </si>
  <si>
    <t>Zeebu</t>
  </si>
  <si>
    <t>ZBU</t>
  </si>
  <si>
    <t>$1.94</t>
  </si>
  <si>
    <t>0.16%</t>
  </si>
  <si>
    <t>$503,419,749</t>
  </si>
  <si>
    <t>$325,843</t>
  </si>
  <si>
    <t>258.97M</t>
  </si>
  <si>
    <t>WOO</t>
  </si>
  <si>
    <t>$0.07137</t>
  </si>
  <si>
    <t>$136,125,306</t>
  </si>
  <si>
    <t>$6,721,454</t>
  </si>
  <si>
    <t>1.9B</t>
  </si>
  <si>
    <t>Elixir deUSD</t>
  </si>
  <si>
    <t>DEUSD</t>
  </si>
  <si>
    <t>$132,578,463</t>
  </si>
  <si>
    <t>$343,471</t>
  </si>
  <si>
    <t>132.63M</t>
  </si>
  <si>
    <t>Yala</t>
  </si>
  <si>
    <t>YU</t>
  </si>
  <si>
    <t>$0.9996</t>
  </si>
  <si>
    <t>$131,915,058</t>
  </si>
  <si>
    <t>$1,092,882</t>
  </si>
  <si>
    <t>131.95M</t>
  </si>
  <si>
    <t>Polymesh</t>
  </si>
  <si>
    <t>POLYX</t>
  </si>
  <si>
    <t>$0.1332</t>
  </si>
  <si>
    <t>$131,880,666</t>
  </si>
  <si>
    <t>$2,531,201</t>
  </si>
  <si>
    <t>989.35M</t>
  </si>
  <si>
    <t>Aleo</t>
  </si>
  <si>
    <t>ALEO</t>
  </si>
  <si>
    <t>$0.2781</t>
  </si>
  <si>
    <t>1.31%</t>
  </si>
  <si>
    <t>$129,554,753</t>
  </si>
  <si>
    <t>$7,930,906</t>
  </si>
  <si>
    <t>465.83M</t>
  </si>
  <si>
    <t>AUSD</t>
  </si>
  <si>
    <t>$128,872,926</t>
  </si>
  <si>
    <t>$8,432,086</t>
  </si>
  <si>
    <t>128.9M</t>
  </si>
  <si>
    <t>Babylon</t>
  </si>
  <si>
    <t>BABY</t>
  </si>
  <si>
    <t>$0.04956</t>
  </si>
  <si>
    <t>0.50%</t>
  </si>
  <si>
    <t>$128,393,361</t>
  </si>
  <si>
    <t>$10,778,520</t>
  </si>
  <si>
    <t>2.59B</t>
  </si>
  <si>
    <t>Status</t>
  </si>
  <si>
    <t>SNT</t>
  </si>
  <si>
    <t>$0.02674</t>
  </si>
  <si>
    <t>0.05%</t>
  </si>
  <si>
    <t>$128,203,844</t>
  </si>
  <si>
    <t>$10,487,502</t>
  </si>
  <si>
    <t>4.79B</t>
  </si>
  <si>
    <t>Enjin Coin</t>
  </si>
  <si>
    <t>ENJ</t>
  </si>
  <si>
    <t>$0.06809</t>
  </si>
  <si>
    <t>$127,672,149</t>
  </si>
  <si>
    <t>$11,344,790</t>
  </si>
  <si>
    <t>1.87B</t>
  </si>
  <si>
    <t>Vana</t>
  </si>
  <si>
    <t>VANA</t>
  </si>
  <si>
    <t>$4.24</t>
  </si>
  <si>
    <t>0.19%</t>
  </si>
  <si>
    <t>$127,660,598</t>
  </si>
  <si>
    <t>$9,341,488</t>
  </si>
  <si>
    <t>30.08M</t>
  </si>
  <si>
    <t>Definitive</t>
  </si>
  <si>
    <t>EDGE</t>
  </si>
  <si>
    <t>$0.4326</t>
  </si>
  <si>
    <t>1.32%</t>
  </si>
  <si>
    <t>$87,828,987</t>
  </si>
  <si>
    <t>$9,141,404</t>
  </si>
  <si>
    <t>203.02M</t>
  </si>
  <si>
    <t>Apertum</t>
  </si>
  <si>
    <t>APTM</t>
  </si>
  <si>
    <t>$1.62</t>
  </si>
  <si>
    <t>$87,776,158</t>
  </si>
  <si>
    <t>$9,108,166</t>
  </si>
  <si>
    <t>54.05M</t>
  </si>
  <si>
    <t>Tokenlon Network Token</t>
  </si>
  <si>
    <t>LON</t>
  </si>
  <si>
    <t>$0.6995</t>
  </si>
  <si>
    <t>$86,786,092</t>
  </si>
  <si>
    <t>$24,699</t>
  </si>
  <si>
    <t>124.06M</t>
  </si>
  <si>
    <t>BIM</t>
  </si>
  <si>
    <t>$2.88</t>
  </si>
  <si>
    <t>0.13%</t>
  </si>
  <si>
    <t>$86,613,592</t>
  </si>
  <si>
    <t>$295,825</t>
  </si>
  <si>
    <t>30M</t>
  </si>
  <si>
    <t>Ardor</t>
  </si>
  <si>
    <t>ARDR</t>
  </si>
  <si>
    <t>$0.08647</t>
  </si>
  <si>
    <t>$86,345,798</t>
  </si>
  <si>
    <t>$4,522,686</t>
  </si>
  <si>
    <t>998.46M</t>
  </si>
  <si>
    <t>Audius</t>
  </si>
  <si>
    <t>AUDIO</t>
  </si>
  <si>
    <t>$0.06401</t>
  </si>
  <si>
    <t>$86,441,423</t>
  </si>
  <si>
    <t>$6,787,116</t>
  </si>
  <si>
    <t>1.35B</t>
  </si>
  <si>
    <t>Ark</t>
  </si>
  <si>
    <t>ARK</t>
  </si>
  <si>
    <t>$0.4504</t>
  </si>
  <si>
    <t>$85,996,731</t>
  </si>
  <si>
    <t>$4,342,188</t>
  </si>
  <si>
    <t>190.9M</t>
  </si>
  <si>
    <t>Goatseus Maximus</t>
  </si>
  <si>
    <t>GOAT</t>
  </si>
  <si>
    <t>$0.08568</t>
  </si>
  <si>
    <t>0.88%</t>
  </si>
  <si>
    <t>$85,680,579</t>
  </si>
  <si>
    <t>$14,947,172</t>
  </si>
  <si>
    <t>999.99M</t>
  </si>
  <si>
    <t>Comedian</t>
  </si>
  <si>
    <t>BAN</t>
  </si>
  <si>
    <t>$0.08543</t>
  </si>
  <si>
    <t>0.38%</t>
  </si>
  <si>
    <t>$85,436,011</t>
  </si>
  <si>
    <t>$10,238,715</t>
  </si>
  <si>
    <t>999.96M</t>
  </si>
  <si>
    <t>Wrapped ONUS</t>
  </si>
  <si>
    <t>WONUS</t>
  </si>
  <si>
    <t>$0.8861</t>
  </si>
  <si>
    <t>$84,791,103</t>
  </si>
  <si>
    <t>N/A</t>
  </si>
  <si>
    <t>95.68M</t>
  </si>
  <si>
    <t>Sophon</t>
  </si>
  <si>
    <t>SOPH</t>
  </si>
  <si>
    <t>$0.03141</t>
  </si>
  <si>
    <t>0.77%</t>
  </si>
  <si>
    <t>$62,836,837</t>
  </si>
  <si>
    <t>$13,787,251</t>
  </si>
  <si>
    <t>2B</t>
  </si>
  <si>
    <t>Metal DAO</t>
  </si>
  <si>
    <t>MTL</t>
  </si>
  <si>
    <t>$0.7292</t>
  </si>
  <si>
    <t>0.09%</t>
  </si>
  <si>
    <t>$62,825,935</t>
  </si>
  <si>
    <t>$1,249,114</t>
  </si>
  <si>
    <t>86.14M</t>
  </si>
  <si>
    <t>Celer Network</t>
  </si>
  <si>
    <t>CELR</t>
  </si>
  <si>
    <t>$0.008040</t>
  </si>
  <si>
    <t>$62,746,080</t>
  </si>
  <si>
    <t>$5,327,551</t>
  </si>
  <si>
    <t>7.8B</t>
  </si>
  <si>
    <t>ArchLoot</t>
  </si>
  <si>
    <t>AL</t>
  </si>
  <si>
    <t>$0.07982</t>
  </si>
  <si>
    <t>$62,547,790</t>
  </si>
  <si>
    <t>$9,047,350</t>
  </si>
  <si>
    <t>783.57M</t>
  </si>
  <si>
    <t>B3 (Base)</t>
  </si>
  <si>
    <t>B3</t>
  </si>
  <si>
    <t>$0.002927</t>
  </si>
  <si>
    <t>0.08%</t>
  </si>
  <si>
    <t>$62,328,087</t>
  </si>
  <si>
    <t>$2,058,149</t>
  </si>
  <si>
    <t>21.29B</t>
  </si>
  <si>
    <t>Tornado Cash</t>
  </si>
  <si>
    <t>TORN</t>
  </si>
  <si>
    <t>$11.79</t>
  </si>
  <si>
    <t>$62,064,898</t>
  </si>
  <si>
    <t>$76,515</t>
  </si>
  <si>
    <t>5.26M</t>
  </si>
  <si>
    <t>Polyhedra Network</t>
  </si>
  <si>
    <t>ZKJ</t>
  </si>
  <si>
    <t>$0.1816</t>
  </si>
  <si>
    <t>0.21%</t>
  </si>
  <si>
    <t>$61,786,840</t>
  </si>
  <si>
    <t>$8,267,657</t>
  </si>
  <si>
    <t>340.13M</t>
  </si>
  <si>
    <t>Bounce Token</t>
  </si>
  <si>
    <t>AUCTION</t>
  </si>
  <si>
    <t>$10.12</t>
  </si>
  <si>
    <t>$61,648,001</t>
  </si>
  <si>
    <t>$27,805,860</t>
  </si>
  <si>
    <t>6.09M</t>
  </si>
  <si>
    <t>Radix</t>
  </si>
  <si>
    <t>XRD</t>
  </si>
  <si>
    <t>$0.005210</t>
  </si>
  <si>
    <t>0.14%</t>
  </si>
  <si>
    <t>$61,619,476</t>
  </si>
  <si>
    <t>$213,098</t>
  </si>
  <si>
    <t>11.82B</t>
  </si>
  <si>
    <t>Gains Network</t>
  </si>
  <si>
    <t>GNS</t>
  </si>
  <si>
    <t>$2.17</t>
  </si>
  <si>
    <t>0.31%</t>
  </si>
  <si>
    <t>$61,481,343</t>
  </si>
  <si>
    <t>$2,564,140</t>
  </si>
  <si>
    <t>28.3M</t>
  </si>
  <si>
    <t>Quantum Resistant Ledger</t>
  </si>
  <si>
    <t>QRL</t>
  </si>
  <si>
    <t>$0.6727</t>
  </si>
  <si>
    <t>1.30%</t>
  </si>
  <si>
    <t>$45,704,968</t>
  </si>
  <si>
    <t>$35,491</t>
  </si>
  <si>
    <t>67.93M</t>
  </si>
  <si>
    <t>XYM</t>
  </si>
  <si>
    <t>$0.007354</t>
  </si>
  <si>
    <t>$45,421,680</t>
  </si>
  <si>
    <t>$758,766</t>
  </si>
  <si>
    <t>6.17B</t>
  </si>
  <si>
    <t>deBridge</t>
  </si>
  <si>
    <t>DBR</t>
  </si>
  <si>
    <t>$0.02359</t>
  </si>
  <si>
    <t>$45,403,740</t>
  </si>
  <si>
    <t>$10,853,972</t>
  </si>
  <si>
    <t>1.92B</t>
  </si>
  <si>
    <t>Origin Protocol</t>
  </si>
  <si>
    <t>OGN</t>
  </si>
  <si>
    <t>$0.06741</t>
  </si>
  <si>
    <t>1.19%</t>
  </si>
  <si>
    <t>$45,353,098</t>
  </si>
  <si>
    <t>$19,016,000</t>
  </si>
  <si>
    <t>672.7M</t>
  </si>
  <si>
    <t>Autonolas</t>
  </si>
  <si>
    <t>OLAS</t>
  </si>
  <si>
    <t>$0.2525</t>
  </si>
  <si>
    <t>$45,266,206</t>
  </si>
  <si>
    <t>$339,268</t>
  </si>
  <si>
    <t>179.2M</t>
  </si>
  <si>
    <t>Renzo</t>
  </si>
  <si>
    <t>REZ</t>
  </si>
  <si>
    <t>$0.01237</t>
  </si>
  <si>
    <t>$45,071,702</t>
  </si>
  <si>
    <t>$10,189,722</t>
  </si>
  <si>
    <t>3.64B</t>
  </si>
  <si>
    <t>PepeCoin</t>
  </si>
  <si>
    <t>PEPECOIN</t>
  </si>
  <si>
    <t>$0.4205</t>
  </si>
  <si>
    <t>$45,027,836</t>
  </si>
  <si>
    <t>$401,821</t>
  </si>
  <si>
    <t>107.05M</t>
  </si>
  <si>
    <t>Solend</t>
  </si>
  <si>
    <t>SLND</t>
  </si>
  <si>
    <t>$0.4502</t>
  </si>
  <si>
    <t>$44,873,234</t>
  </si>
  <si>
    <t>99.66M</t>
  </si>
  <si>
    <t>Vulcan Forged (PYR)</t>
  </si>
  <si>
    <t>PYR</t>
  </si>
  <si>
    <t>$1.01</t>
  </si>
  <si>
    <t>0.40%</t>
  </si>
  <si>
    <t>$44,872,405</t>
  </si>
  <si>
    <t>$10,068,683</t>
  </si>
  <si>
    <t>44.05M</t>
  </si>
  <si>
    <t>MetYa</t>
  </si>
  <si>
    <t>MET</t>
  </si>
  <si>
    <t>$0.2490</t>
  </si>
  <si>
    <t>$44,330,157</t>
  </si>
  <si>
    <t>$68,082,352</t>
  </si>
  <si>
    <t>177.96M</t>
  </si>
  <si>
    <t>MetFi</t>
  </si>
  <si>
    <t>METFI</t>
  </si>
  <si>
    <t>$0.1618</t>
  </si>
  <si>
    <t>$35,354,744</t>
  </si>
  <si>
    <t>$121,069</t>
  </si>
  <si>
    <t>218.43M</t>
  </si>
  <si>
    <t>YALA</t>
  </si>
  <si>
    <t>$0.1431</t>
  </si>
  <si>
    <t>0.79%</t>
  </si>
  <si>
    <t>$35,264,904</t>
  </si>
  <si>
    <t>$7,857,060</t>
  </si>
  <si>
    <t>246.36M</t>
  </si>
  <si>
    <t>Metadium</t>
  </si>
  <si>
    <t>META</t>
  </si>
  <si>
    <t>$0.02046</t>
  </si>
  <si>
    <t>0.12%</t>
  </si>
  <si>
    <t>$35,141,644</t>
  </si>
  <si>
    <t>$129,282</t>
  </si>
  <si>
    <t>1.71B</t>
  </si>
  <si>
    <t>Acala Token</t>
  </si>
  <si>
    <t>ACA</t>
  </si>
  <si>
    <t>$0.03011</t>
  </si>
  <si>
    <t>0.25%</t>
  </si>
  <si>
    <t>$35,138,416</t>
  </si>
  <si>
    <t>$5,538,677</t>
  </si>
  <si>
    <t>1.16B</t>
  </si>
  <si>
    <t>XION</t>
  </si>
  <si>
    <t>$0.8987</t>
  </si>
  <si>
    <t>0.90%</t>
  </si>
  <si>
    <t>$35,080,411</t>
  </si>
  <si>
    <t>$9,778,739</t>
  </si>
  <si>
    <t>39.03M</t>
  </si>
  <si>
    <t>Roam</t>
  </si>
  <si>
    <t>ROAM</t>
  </si>
  <si>
    <t>$0.1125</t>
  </si>
  <si>
    <t>0.66%</t>
  </si>
  <si>
    <t>$35,034,139</t>
  </si>
  <si>
    <t>$50,371,789</t>
  </si>
  <si>
    <t>311.3M</t>
  </si>
  <si>
    <t>Fuel Network</t>
  </si>
  <si>
    <t>FUEL</t>
  </si>
  <si>
    <t>$0.006097</t>
  </si>
  <si>
    <t>$34,972,612</t>
  </si>
  <si>
    <t>$1,391,859</t>
  </si>
  <si>
    <t>5.73B</t>
  </si>
  <si>
    <t>Ampleforth</t>
  </si>
  <si>
    <t>AMPL</t>
  </si>
  <si>
    <t>$1.23</t>
  </si>
  <si>
    <t>$34,798,359</t>
  </si>
  <si>
    <t>$75,600</t>
  </si>
  <si>
    <t>28.27M</t>
  </si>
  <si>
    <t>ARPA</t>
  </si>
  <si>
    <t>$0.02275</t>
  </si>
  <si>
    <t>$34,575,104</t>
  </si>
  <si>
    <t>$18,844,509</t>
  </si>
  <si>
    <t>1.51B</t>
  </si>
  <si>
    <t>Fair and Free</t>
  </si>
  <si>
    <t>FAIR3</t>
  </si>
  <si>
    <t>$0.03687</t>
  </si>
  <si>
    <t>0.72%</t>
  </si>
  <si>
    <t>$34,508,739</t>
  </si>
  <si>
    <t>$8,324,722</t>
  </si>
  <si>
    <t>935.81M</t>
  </si>
  <si>
    <t>XPLA</t>
  </si>
  <si>
    <t>$0.03186</t>
  </si>
  <si>
    <t>2.16%</t>
  </si>
  <si>
    <t>$26,070,319</t>
  </si>
  <si>
    <t>$467,706</t>
  </si>
  <si>
    <t>818.17M</t>
  </si>
  <si>
    <t>PlatON</t>
  </si>
  <si>
    <t>LAT</t>
  </si>
  <si>
    <t>$0.003897</t>
  </si>
  <si>
    <t>1.59%</t>
  </si>
  <si>
    <t>$26,014,561</t>
  </si>
  <si>
    <t>$6,727,701</t>
  </si>
  <si>
    <t>6.67B</t>
  </si>
  <si>
    <t>dYdX (ethDYDX)</t>
  </si>
  <si>
    <t>ETHDYDX</t>
  </si>
  <si>
    <t>$0.6222</t>
  </si>
  <si>
    <t>$25,922,954</t>
  </si>
  <si>
    <t>$9,982,050</t>
  </si>
  <si>
    <t>41.65M</t>
  </si>
  <si>
    <t>Build On BNB</t>
  </si>
  <si>
    <t>BOB</t>
  </si>
  <si>
    <t>$0.076150</t>
  </si>
  <si>
    <t>0.37%</t>
  </si>
  <si>
    <t>$25,873,467</t>
  </si>
  <si>
    <t>$11,510,400</t>
  </si>
  <si>
    <t>420.69T</t>
  </si>
  <si>
    <t>CLV</t>
  </si>
  <si>
    <t>$0.02106</t>
  </si>
  <si>
    <t>$25,788,064</t>
  </si>
  <si>
    <t>$1,225,263</t>
  </si>
  <si>
    <t>1.22B</t>
  </si>
  <si>
    <t>Kekius Maximus (kekiusmaximus.vip)</t>
  </si>
  <si>
    <t>KEKIUS</t>
  </si>
  <si>
    <t>$0.02575</t>
  </si>
  <si>
    <t>1.09%</t>
  </si>
  <si>
    <t>$25,759,341</t>
  </si>
  <si>
    <t>$2,642,277</t>
  </si>
  <si>
    <t>Alkimi</t>
  </si>
  <si>
    <t>ADS</t>
  </si>
  <si>
    <t>$0.1085</t>
  </si>
  <si>
    <t>$25,730,460</t>
  </si>
  <si>
    <t>$64,349</t>
  </si>
  <si>
    <t>236.99M</t>
  </si>
  <si>
    <t>CreatorBid</t>
  </si>
  <si>
    <t>BID</t>
  </si>
  <si>
    <t>$0.09556</t>
  </si>
  <si>
    <t>0.92%</t>
  </si>
  <si>
    <t>$25,696,932</t>
  </si>
  <si>
    <t>$1,704,625</t>
  </si>
  <si>
    <t>268.88M</t>
  </si>
  <si>
    <t>Moby</t>
  </si>
  <si>
    <t>MOBY</t>
  </si>
  <si>
    <t>$0.02550</t>
  </si>
  <si>
    <t>$25,507,544</t>
  </si>
  <si>
    <t>$5,524,554</t>
  </si>
  <si>
    <t>999.97M</t>
  </si>
  <si>
    <t>Agoras: Tau Net</t>
  </si>
  <si>
    <t>AGRS</t>
  </si>
  <si>
    <t>$0.8529</t>
  </si>
  <si>
    <t>$25,471,481</t>
  </si>
  <si>
    <t>$43,405</t>
  </si>
  <si>
    <t>29.86M</t>
  </si>
  <si>
    <t>ZUSD</t>
  </si>
  <si>
    <t>$0.9988</t>
  </si>
  <si>
    <t>$18,990,853</t>
  </si>
  <si>
    <t>$228,239</t>
  </si>
  <si>
    <t>19.01M</t>
  </si>
  <si>
    <t>Cross The Ages</t>
  </si>
  <si>
    <t>CTA</t>
  </si>
  <si>
    <t>$0.03792</t>
  </si>
  <si>
    <t>$18,961,083</t>
  </si>
  <si>
    <t>$706,323</t>
  </si>
  <si>
    <t>500M</t>
  </si>
  <si>
    <t>Amaterasu Omikami</t>
  </si>
  <si>
    <t>OMIKAMI</t>
  </si>
  <si>
    <t>$0.02001</t>
  </si>
  <si>
    <t>$18,957,669</t>
  </si>
  <si>
    <t>$357,326</t>
  </si>
  <si>
    <t>946.97M</t>
  </si>
  <si>
    <t>OLAXBT</t>
  </si>
  <si>
    <t>AIO</t>
  </si>
  <si>
    <t>$0.08172</t>
  </si>
  <si>
    <t>$18,817,231</t>
  </si>
  <si>
    <t>$5,622,803</t>
  </si>
  <si>
    <t>230.25M</t>
  </si>
  <si>
    <t>Games for a Living</t>
  </si>
  <si>
    <t>GFAL</t>
  </si>
  <si>
    <t>$0.005502</t>
  </si>
  <si>
    <t>1.06%</t>
  </si>
  <si>
    <t>$18,668,308</t>
  </si>
  <si>
    <t>$181,555</t>
  </si>
  <si>
    <t>3.39B</t>
  </si>
  <si>
    <t>Magpie</t>
  </si>
  <si>
    <t>MGP</t>
  </si>
  <si>
    <t>$0.03889</t>
  </si>
  <si>
    <t>$18,667,205</t>
  </si>
  <si>
    <t>$1,002</t>
  </si>
  <si>
    <t>479.99M</t>
  </si>
  <si>
    <t>Everscale</t>
  </si>
  <si>
    <t>EVER</t>
  </si>
  <si>
    <t>$0.009370</t>
  </si>
  <si>
    <t>$18,606,007</t>
  </si>
  <si>
    <t>$189,918</t>
  </si>
  <si>
    <t>1.98B</t>
  </si>
  <si>
    <t>Bulla</t>
  </si>
  <si>
    <t>BULLA</t>
  </si>
  <si>
    <t>$0.06639</t>
  </si>
  <si>
    <t>$18,591,856</t>
  </si>
  <si>
    <t>$4,765,140</t>
  </si>
  <si>
    <t>280M</t>
  </si>
  <si>
    <t>SIX Token</t>
  </si>
  <si>
    <t>SIX</t>
  </si>
  <si>
    <t>$0.02178</t>
  </si>
  <si>
    <t>$18,540,898</t>
  </si>
  <si>
    <t>$4,492,892</t>
  </si>
  <si>
    <t>850.96M</t>
  </si>
  <si>
    <t>AIHub</t>
  </si>
  <si>
    <t>AIH</t>
  </si>
  <si>
    <t>$16.85</t>
  </si>
  <si>
    <t>$18,536,240</t>
  </si>
  <si>
    <t>$119,734</t>
  </si>
  <si>
    <t>1.1M</t>
  </si>
  <si>
    <t>NodeOps</t>
  </si>
  <si>
    <t>NODE</t>
  </si>
  <si>
    <t>$0.1108</t>
  </si>
  <si>
    <t>1.04%</t>
  </si>
  <si>
    <t>$14,785,022</t>
  </si>
  <si>
    <t>$32,485,149</t>
  </si>
  <si>
    <t>133.39M</t>
  </si>
  <si>
    <t>GYEN</t>
  </si>
  <si>
    <t>$0.007013</t>
  </si>
  <si>
    <t>0.46%</t>
  </si>
  <si>
    <t>$14,719,301</t>
  </si>
  <si>
    <t>$138</t>
  </si>
  <si>
    <t>2.09B</t>
  </si>
  <si>
    <t>Rezor</t>
  </si>
  <si>
    <t>RZR</t>
  </si>
  <si>
    <t>$0.0003612</t>
  </si>
  <si>
    <t>$14,681,529</t>
  </si>
  <si>
    <t>$499,518</t>
  </si>
  <si>
    <t>40.64B</t>
  </si>
  <si>
    <t>Jerry The Turtle By Matt Furie</t>
  </si>
  <si>
    <t>JYAI</t>
  </si>
  <si>
    <t>$0.0002118</t>
  </si>
  <si>
    <t>$14,616,635</t>
  </si>
  <si>
    <t>$6,112,676</t>
  </si>
  <si>
    <t>69B</t>
  </si>
  <si>
    <t>pSTAKE Finance</t>
  </si>
  <si>
    <t>PSTAKE</t>
  </si>
  <si>
    <t>$0.03322</t>
  </si>
  <si>
    <t>$14,606,826</t>
  </si>
  <si>
    <t>$4,251,361</t>
  </si>
  <si>
    <t>439.65M</t>
  </si>
  <si>
    <t>Suku</t>
  </si>
  <si>
    <t>SUKU</t>
  </si>
  <si>
    <t>$0.02987</t>
  </si>
  <si>
    <t>$14,570,562</t>
  </si>
  <si>
    <t>$316,134</t>
  </si>
  <si>
    <t>487.69M</t>
  </si>
  <si>
    <t>Vita Inu</t>
  </si>
  <si>
    <t>VINU</t>
  </si>
  <si>
    <t>$0.071613</t>
  </si>
  <si>
    <t>0.41%</t>
  </si>
  <si>
    <t>$14,516,193</t>
  </si>
  <si>
    <t>$542,805</t>
  </si>
  <si>
    <t>899.59T</t>
  </si>
  <si>
    <t>Hosico</t>
  </si>
  <si>
    <t>HOSICO</t>
  </si>
  <si>
    <t>$0.01444</t>
  </si>
  <si>
    <t>$14,440,722</t>
  </si>
  <si>
    <t>$1,406,872</t>
  </si>
  <si>
    <t>Alvara Protocol</t>
  </si>
  <si>
    <t>ALVA</t>
  </si>
  <si>
    <t>$0.1963</t>
  </si>
  <si>
    <t>0.81%</t>
  </si>
  <si>
    <t>$14,425,837</t>
  </si>
  <si>
    <t>$686,075</t>
  </si>
  <si>
    <t>73.46M</t>
  </si>
  <si>
    <t>Free Palestine</t>
  </si>
  <si>
    <t>YAFA</t>
  </si>
  <si>
    <t>$0.01483</t>
  </si>
  <si>
    <t>$14,389,863</t>
  </si>
  <si>
    <t>$34,241</t>
  </si>
  <si>
    <t>969.99M</t>
  </si>
  <si>
    <t>Infinitar</t>
  </si>
  <si>
    <t>IGT</t>
  </si>
  <si>
    <t>$0.04302</t>
  </si>
  <si>
    <t>0.28%</t>
  </si>
  <si>
    <t>$11,345,859</t>
  </si>
  <si>
    <t>$810,252</t>
  </si>
  <si>
    <t>263.73M</t>
  </si>
  <si>
    <t>Biswap</t>
  </si>
  <si>
    <t>BSW</t>
  </si>
  <si>
    <t>$0.01686</t>
  </si>
  <si>
    <t>1.10%</t>
  </si>
  <si>
    <t>$11,304,052</t>
  </si>
  <si>
    <t>$8,799,764</t>
  </si>
  <si>
    <t>670.18M</t>
  </si>
  <si>
    <t>PublicAI</t>
  </si>
  <si>
    <t>PUBLIC</t>
  </si>
  <si>
    <t>$0.05637</t>
  </si>
  <si>
    <t>$11,274,163</t>
  </si>
  <si>
    <t>$6,405,267</t>
  </si>
  <si>
    <t>200M</t>
  </si>
  <si>
    <t>BasedAI</t>
  </si>
  <si>
    <t>BASEDAI</t>
  </si>
  <si>
    <t>$0.3249</t>
  </si>
  <si>
    <t>$11,243,721</t>
  </si>
  <si>
    <t>$25,910</t>
  </si>
  <si>
    <t>34.59M</t>
  </si>
  <si>
    <t>Bellscoin</t>
  </si>
  <si>
    <t>BELLS</t>
  </si>
  <si>
    <t>$0.1833</t>
  </si>
  <si>
    <t>2.60%</t>
  </si>
  <si>
    <t>$11,181,505</t>
  </si>
  <si>
    <t>$95,241</t>
  </si>
  <si>
    <t>60.97M</t>
  </si>
  <si>
    <t>SIGMA</t>
  </si>
  <si>
    <t>$0.01242</t>
  </si>
  <si>
    <t>1.64%</t>
  </si>
  <si>
    <t>$11,184,297</t>
  </si>
  <si>
    <t>$1,157,910</t>
  </si>
  <si>
    <t>899.84M</t>
  </si>
  <si>
    <t>STUFF.io</t>
  </si>
  <si>
    <t>STUFF</t>
  </si>
  <si>
    <t>$0.004238</t>
  </si>
  <si>
    <t>0.87%</t>
  </si>
  <si>
    <t>$11,144,288</t>
  </si>
  <si>
    <t>$19,472</t>
  </si>
  <si>
    <t>2.62B</t>
  </si>
  <si>
    <t>Tectonic</t>
  </si>
  <si>
    <t>TONIC</t>
  </si>
  <si>
    <t>$0.074502</t>
  </si>
  <si>
    <t>0.51%</t>
  </si>
  <si>
    <t>$11,155,057</t>
  </si>
  <si>
    <t>$233,918</t>
  </si>
  <si>
    <t>247.73T</t>
  </si>
  <si>
    <t>Prosper</t>
  </si>
  <si>
    <t>PROS</t>
  </si>
  <si>
    <t>$0.2159</t>
  </si>
  <si>
    <t>$11,101,030</t>
  </si>
  <si>
    <t>$105,278</t>
  </si>
  <si>
    <t>51.39M</t>
  </si>
  <si>
    <t>AKEDO</t>
  </si>
  <si>
    <t>AKE</t>
  </si>
  <si>
    <t>$0.0004861</t>
  </si>
  <si>
    <t>$11,082,865</t>
  </si>
  <si>
    <t>$8,599,503</t>
  </si>
  <si>
    <t>22.79B</t>
  </si>
  <si>
    <t>StablR USD</t>
  </si>
  <si>
    <t>USDR</t>
  </si>
  <si>
    <t>$0.9993</t>
  </si>
  <si>
    <t>$8,799,631</t>
  </si>
  <si>
    <t>$50,214,459</t>
  </si>
  <si>
    <t>8.8M</t>
  </si>
  <si>
    <t>Counterparty</t>
  </si>
  <si>
    <t>XCP</t>
  </si>
  <si>
    <t>$3.38</t>
  </si>
  <si>
    <t>$8,770,979</t>
  </si>
  <si>
    <t>$10</t>
  </si>
  <si>
    <t>2.59M</t>
  </si>
  <si>
    <t>Steem Dollars</t>
  </si>
  <si>
    <t>SBD</t>
  </si>
  <si>
    <t>$0.8940</t>
  </si>
  <si>
    <t>$8,762,689</t>
  </si>
  <si>
    <t>$1,784,357</t>
  </si>
  <si>
    <t>9.8M</t>
  </si>
  <si>
    <t>Startup</t>
  </si>
  <si>
    <t>STARTUP</t>
  </si>
  <si>
    <t>$0.008843</t>
  </si>
  <si>
    <t>1.13%</t>
  </si>
  <si>
    <t>$8,757,334</t>
  </si>
  <si>
    <t>$1,018,996</t>
  </si>
  <si>
    <t>990.28M</t>
  </si>
  <si>
    <t>LinqAI</t>
  </si>
  <si>
    <t>LNQ</t>
  </si>
  <si>
    <t>$0.03631</t>
  </si>
  <si>
    <t>$8,738,652</t>
  </si>
  <si>
    <t>$849,245</t>
  </si>
  <si>
    <t>240.6M</t>
  </si>
  <si>
    <t>Baanx</t>
  </si>
  <si>
    <t>BXX</t>
  </si>
  <si>
    <t>$0.04564</t>
  </si>
  <si>
    <t>$8,732,769</t>
  </si>
  <si>
    <t>$31,161</t>
  </si>
  <si>
    <t>191.31M</t>
  </si>
  <si>
    <t>TrustSwap</t>
  </si>
  <si>
    <t>SWAP</t>
  </si>
  <si>
    <t>$0.08713</t>
  </si>
  <si>
    <t>0.62%</t>
  </si>
  <si>
    <t>$8,712,671</t>
  </si>
  <si>
    <t>$260,752</t>
  </si>
  <si>
    <t>99.99M</t>
  </si>
  <si>
    <t>Tanssi</t>
  </si>
  <si>
    <t>TANSSI</t>
  </si>
  <si>
    <t>$0.03952</t>
  </si>
  <si>
    <t>$8,699,473</t>
  </si>
  <si>
    <t>$7,734,230</t>
  </si>
  <si>
    <t>220.1M</t>
  </si>
  <si>
    <t>Stride</t>
  </si>
  <si>
    <t>STRD</t>
  </si>
  <si>
    <t>$0.09871</t>
  </si>
  <si>
    <t>$8,669,853</t>
  </si>
  <si>
    <t>$229,548</t>
  </si>
  <si>
    <t>87.82M</t>
  </si>
  <si>
    <t>Peercoin</t>
  </si>
  <si>
    <t>PPC</t>
  </si>
  <si>
    <t>$0.2912</t>
  </si>
  <si>
    <t>$8,662,826</t>
  </si>
  <si>
    <t>$65,907</t>
  </si>
  <si>
    <t>29.74M</t>
  </si>
  <si>
    <t>WHALE</t>
  </si>
  <si>
    <t>$0.7020</t>
  </si>
  <si>
    <t>$7,020,264</t>
  </si>
  <si>
    <t>10M</t>
  </si>
  <si>
    <t>Venus DAI</t>
  </si>
  <si>
    <t>vDAI</t>
  </si>
  <si>
    <t>$0.02555</t>
  </si>
  <si>
    <t>$7,015,949</t>
  </si>
  <si>
    <t>274.53M</t>
  </si>
  <si>
    <t>Fluence</t>
  </si>
  <si>
    <t>FLT</t>
  </si>
  <si>
    <t>$0.03469</t>
  </si>
  <si>
    <t>$6,977,656</t>
  </si>
  <si>
    <t>$146,941</t>
  </si>
  <si>
    <t>201.12M</t>
  </si>
  <si>
    <t>Partisia Blockchain</t>
  </si>
  <si>
    <t>MPC</t>
  </si>
  <si>
    <t>$0.01934</t>
  </si>
  <si>
    <t>$6,955,385</t>
  </si>
  <si>
    <t>$6,780</t>
  </si>
  <si>
    <t>359.59M</t>
  </si>
  <si>
    <t>Hoge Finance</t>
  </si>
  <si>
    <t>HOGE</t>
  </si>
  <si>
    <t>$0.00001759</t>
  </si>
  <si>
    <t>$6,922,422</t>
  </si>
  <si>
    <t>393.4B</t>
  </si>
  <si>
    <t>Pain (paintoken.com)</t>
  </si>
  <si>
    <t>PAIN</t>
  </si>
  <si>
    <t>$1.38</t>
  </si>
  <si>
    <t>2.85%</t>
  </si>
  <si>
    <t>$6,916,559</t>
  </si>
  <si>
    <t>$425,962</t>
  </si>
  <si>
    <t>4.99M</t>
  </si>
  <si>
    <t>Sentinel</t>
  </si>
  <si>
    <t>P2P</t>
  </si>
  <si>
    <t>$0.0002995</t>
  </si>
  <si>
    <t>$6,910,668</t>
  </si>
  <si>
    <t>$87,808</t>
  </si>
  <si>
    <t>23.06B</t>
  </si>
  <si>
    <t>Cere Network</t>
  </si>
  <si>
    <t>CERE</t>
  </si>
  <si>
    <t>$0.0009944</t>
  </si>
  <si>
    <t>$6,901,123</t>
  </si>
  <si>
    <t>$187,469</t>
  </si>
  <si>
    <t>6.93B</t>
  </si>
  <si>
    <t>OVR</t>
  </si>
  <si>
    <t>$0.1352</t>
  </si>
  <si>
    <t>0.18%</t>
  </si>
  <si>
    <t>$6,897,513</t>
  </si>
  <si>
    <t>$340,331</t>
  </si>
  <si>
    <t>50.99M</t>
  </si>
  <si>
    <t>fanC</t>
  </si>
  <si>
    <t>FANC</t>
  </si>
  <si>
    <t>$0.004908</t>
  </si>
  <si>
    <t>$6,894,766</t>
  </si>
  <si>
    <t>$321,408</t>
  </si>
  <si>
    <t>1.4B</t>
  </si>
  <si>
    <t>Velvet</t>
  </si>
  <si>
    <t>VELVET</t>
  </si>
  <si>
    <t>$0.06052</t>
  </si>
  <si>
    <t>$5,328,756</t>
  </si>
  <si>
    <t>$4,164,781</t>
  </si>
  <si>
    <t>88.03M</t>
  </si>
  <si>
    <t>Wibegram</t>
  </si>
  <si>
    <t>WIBE</t>
  </si>
  <si>
    <t>$0.2610</t>
  </si>
  <si>
    <t>$5,322,203</t>
  </si>
  <si>
    <t>$3,754,649</t>
  </si>
  <si>
    <t>20.38M</t>
  </si>
  <si>
    <t>ABBC Coin</t>
  </si>
  <si>
    <t>ABBC</t>
  </si>
  <si>
    <t>$0.005877</t>
  </si>
  <si>
    <t>$5,321,075</t>
  </si>
  <si>
    <t>$59,834</t>
  </si>
  <si>
    <t>905.3M</t>
  </si>
  <si>
    <t>Lion Cat</t>
  </si>
  <si>
    <t>LCAT</t>
  </si>
  <si>
    <t>$0.01122</t>
  </si>
  <si>
    <t>2.94%</t>
  </si>
  <si>
    <t>$5,289,262</t>
  </si>
  <si>
    <t>$30,255</t>
  </si>
  <si>
    <t>471M</t>
  </si>
  <si>
    <t>Zero1 Labs</t>
  </si>
  <si>
    <t>DEAI</t>
  </si>
  <si>
    <t>$0.05787</t>
  </si>
  <si>
    <t>$5,279,826</t>
  </si>
  <si>
    <t>$1,013,267</t>
  </si>
  <si>
    <t>91.22M</t>
  </si>
  <si>
    <t>STAT</t>
  </si>
  <si>
    <t>$0.06946</t>
  </si>
  <si>
    <t>$5,273,359</t>
  </si>
  <si>
    <t>$846,710</t>
  </si>
  <si>
    <t>75.91M</t>
  </si>
  <si>
    <t>Stonks</t>
  </si>
  <si>
    <t>STNK</t>
  </si>
  <si>
    <t>$9.06</t>
  </si>
  <si>
    <t>$5,254,151</t>
  </si>
  <si>
    <t>$27,503</t>
  </si>
  <si>
    <t>579.84K</t>
  </si>
  <si>
    <t>Epic Cash</t>
  </si>
  <si>
    <t>EPIC</t>
  </si>
  <si>
    <t>$0.3037</t>
  </si>
  <si>
    <t>$5,249,160</t>
  </si>
  <si>
    <t>$64,548</t>
  </si>
  <si>
    <t>17.27M</t>
  </si>
  <si>
    <t>ORBIT</t>
  </si>
  <si>
    <t>GRIFT</t>
  </si>
  <si>
    <t>$0.005238</t>
  </si>
  <si>
    <t>0.91%</t>
  </si>
  <si>
    <t>$5,236,511</t>
  </si>
  <si>
    <t>$2,582,102</t>
  </si>
  <si>
    <t>999.68M</t>
  </si>
  <si>
    <t>Upland (SPARKLET)</t>
  </si>
  <si>
    <t>SPARKLET</t>
  </si>
  <si>
    <t>$0.02444</t>
  </si>
  <si>
    <t>$5,209,385</t>
  </si>
  <si>
    <t>$289,972</t>
  </si>
  <si>
    <t>213.09M</t>
  </si>
  <si>
    <t>Troll (troll.run)</t>
  </si>
  <si>
    <t>TROLL</t>
  </si>
  <si>
    <t>$0.084376</t>
  </si>
  <si>
    <t>1.33%</t>
  </si>
  <si>
    <t>$4,203,318</t>
  </si>
  <si>
    <t>$369,327</t>
  </si>
  <si>
    <t>960.42T</t>
  </si>
  <si>
    <t>DeFi Kingdoms</t>
  </si>
  <si>
    <t>JEWEL</t>
  </si>
  <si>
    <t>$0.03701</t>
  </si>
  <si>
    <t>$4,202,448</t>
  </si>
  <si>
    <t>113.53M</t>
  </si>
  <si>
    <t>BitForex Token</t>
  </si>
  <si>
    <t>BF</t>
  </si>
  <si>
    <t>$0.0009776</t>
  </si>
  <si>
    <t>$4,193,254</t>
  </si>
  <si>
    <t>4.28B</t>
  </si>
  <si>
    <t>XPIN Network</t>
  </si>
  <si>
    <t>XPIN</t>
  </si>
  <si>
    <t>$0.0006957</t>
  </si>
  <si>
    <t>3.69%</t>
  </si>
  <si>
    <t>$4,174,785</t>
  </si>
  <si>
    <t>$10,230,683</t>
  </si>
  <si>
    <t>6B</t>
  </si>
  <si>
    <t>Beam</t>
  </si>
  <si>
    <t>BEAM</t>
  </si>
  <si>
    <t>$0.02762</t>
  </si>
  <si>
    <t>$4,163,952</t>
  </si>
  <si>
    <t>$96,917</t>
  </si>
  <si>
    <t>150.75M</t>
  </si>
  <si>
    <t>Project WITH</t>
  </si>
  <si>
    <t>WIKEN</t>
  </si>
  <si>
    <t>$0.003939</t>
  </si>
  <si>
    <t>$4,148,747</t>
  </si>
  <si>
    <t>$8,766</t>
  </si>
  <si>
    <t>1.05B</t>
  </si>
  <si>
    <t>ICHI</t>
  </si>
  <si>
    <t>$0.4422</t>
  </si>
  <si>
    <t>$4,145,259</t>
  </si>
  <si>
    <t>9.37M</t>
  </si>
  <si>
    <t>Mysterium</t>
  </si>
  <si>
    <t>MYST</t>
  </si>
  <si>
    <t>$0.2066</t>
  </si>
  <si>
    <t>0.98%</t>
  </si>
  <si>
    <t>$4,140,168</t>
  </si>
  <si>
    <t>$106,213</t>
  </si>
  <si>
    <t>20.03M</t>
  </si>
  <si>
    <t>PRIZM</t>
  </si>
  <si>
    <t>PZM</t>
  </si>
  <si>
    <t>$0.0009470</t>
  </si>
  <si>
    <t>$4,138,839</t>
  </si>
  <si>
    <t>$847</t>
  </si>
  <si>
    <t>4.37B</t>
  </si>
  <si>
    <t>Frodo the virtual samurai</t>
  </si>
  <si>
    <t>FROG</t>
  </si>
  <si>
    <t>$0.0008261</t>
  </si>
  <si>
    <t>0.69%</t>
  </si>
  <si>
    <t>$4,130,541</t>
  </si>
  <si>
    <t>$355,240</t>
  </si>
  <si>
    <t>5B</t>
  </si>
  <si>
    <t>CatSlap</t>
  </si>
  <si>
    <t>SLAP</t>
  </si>
  <si>
    <t>$0.0007666</t>
  </si>
  <si>
    <t>$3,350,959</t>
  </si>
  <si>
    <t>MSTR2100</t>
  </si>
  <si>
    <t>MSTR</t>
  </si>
  <si>
    <t>$0.1620</t>
  </si>
  <si>
    <t>0.27%</t>
  </si>
  <si>
    <t>$3,346,569</t>
  </si>
  <si>
    <t>$331,094</t>
  </si>
  <si>
    <t>20.64M</t>
  </si>
  <si>
    <t>LABEL AI</t>
  </si>
  <si>
    <t>LBL</t>
  </si>
  <si>
    <t>$0.001237</t>
  </si>
  <si>
    <t>0.54%</t>
  </si>
  <si>
    <t>$3,339,357</t>
  </si>
  <si>
    <t>$18,420</t>
  </si>
  <si>
    <t>2.69B</t>
  </si>
  <si>
    <t>RCADE</t>
  </si>
  <si>
    <t>$0.0004016</t>
  </si>
  <si>
    <t>0.96%</t>
  </si>
  <si>
    <t>$3,333,341</t>
  </si>
  <si>
    <t>$1,613,699</t>
  </si>
  <si>
    <t>8.29B</t>
  </si>
  <si>
    <t>CrossFi</t>
  </si>
  <si>
    <t>XFI</t>
  </si>
  <si>
    <t>$0.05404</t>
  </si>
  <si>
    <t>$3,321,989</t>
  </si>
  <si>
    <t>$875,780</t>
  </si>
  <si>
    <t>61.46M</t>
  </si>
  <si>
    <t>Boom</t>
  </si>
  <si>
    <t>BOOM</t>
  </si>
  <si>
    <t>$0.01320</t>
  </si>
  <si>
    <t>1.12%</t>
  </si>
  <si>
    <t>$3,318,891</t>
  </si>
  <si>
    <t>$2,394,175</t>
  </si>
  <si>
    <t>251.34M</t>
  </si>
  <si>
    <t>Izumi Finance</t>
  </si>
  <si>
    <t>IZI</t>
  </si>
  <si>
    <t>$0.004211</t>
  </si>
  <si>
    <t>$3,316,153</t>
  </si>
  <si>
    <t>$95,553</t>
  </si>
  <si>
    <t>787.4M</t>
  </si>
  <si>
    <t>Push Protocol</t>
  </si>
  <si>
    <t>PUSH</t>
  </si>
  <si>
    <t>$0.03652</t>
  </si>
  <si>
    <t>0.29%</t>
  </si>
  <si>
    <t>$3,296,073</t>
  </si>
  <si>
    <t>$1,991,360</t>
  </si>
  <si>
    <t>90.23M</t>
  </si>
  <si>
    <t>Patriot</t>
  </si>
  <si>
    <t>PATRIOT</t>
  </si>
  <si>
    <t>$0.0003290</t>
  </si>
  <si>
    <t>$3,290,369</t>
  </si>
  <si>
    <t>$19,915</t>
  </si>
  <si>
    <t>10B</t>
  </si>
  <si>
    <t>Panda Swap</t>
  </si>
  <si>
    <t>PANDA</t>
  </si>
  <si>
    <t>$0.003694</t>
  </si>
  <si>
    <t>0.74%</t>
  </si>
  <si>
    <t>$3,283,841</t>
  </si>
  <si>
    <t>$123,380</t>
  </si>
  <si>
    <t>888.88M</t>
  </si>
  <si>
    <t>GAM3S.GG</t>
  </si>
  <si>
    <t>G3</t>
  </si>
  <si>
    <t>$0.005020</t>
  </si>
  <si>
    <t>0.17%</t>
  </si>
  <si>
    <t>$2,780,822</t>
  </si>
  <si>
    <t>$492,884</t>
  </si>
  <si>
    <t>553.85M</t>
  </si>
  <si>
    <t>Harold</t>
  </si>
  <si>
    <t>HAROLD</t>
  </si>
  <si>
    <t>$0.003526</t>
  </si>
  <si>
    <t>$2,775,444</t>
  </si>
  <si>
    <t>$78,498</t>
  </si>
  <si>
    <t>787M</t>
  </si>
  <si>
    <t>Tiger Shark</t>
  </si>
  <si>
    <t>TIGERSHARK</t>
  </si>
  <si>
    <t>$0.002758</t>
  </si>
  <si>
    <t>$2,758,101</t>
  </si>
  <si>
    <t>Decentrawood</t>
  </si>
  <si>
    <t>DEOD</t>
  </si>
  <si>
    <t>$0.005687</t>
  </si>
  <si>
    <t>$2,752,249</t>
  </si>
  <si>
    <t>$248,901</t>
  </si>
  <si>
    <t>483.88M</t>
  </si>
  <si>
    <t>Lumera Health</t>
  </si>
  <si>
    <t>LUR</t>
  </si>
  <si>
    <t>$2.63</t>
  </si>
  <si>
    <t>1.66%</t>
  </si>
  <si>
    <t>$2,740,226</t>
  </si>
  <si>
    <t>$650,212</t>
  </si>
  <si>
    <t>1.04M</t>
  </si>
  <si>
    <t>Celsius</t>
  </si>
  <si>
    <t>CEL</t>
  </si>
  <si>
    <t>$0.07225</t>
  </si>
  <si>
    <t>$2,725,328</t>
  </si>
  <si>
    <t>$225,992</t>
  </si>
  <si>
    <t>37.72M</t>
  </si>
  <si>
    <t>aixCB by Virtuals</t>
  </si>
  <si>
    <t>AIXCB</t>
  </si>
  <si>
    <t>$0.002739</t>
  </si>
  <si>
    <t>$2,721,575</t>
  </si>
  <si>
    <t>$9,317</t>
  </si>
  <si>
    <t>993.5M</t>
  </si>
  <si>
    <t>Solchat</t>
  </si>
  <si>
    <t>CHAT</t>
  </si>
  <si>
    <t>$0.3380</t>
  </si>
  <si>
    <t>1.62%</t>
  </si>
  <si>
    <t>$2,718,841</t>
  </si>
  <si>
    <t>$93,501</t>
  </si>
  <si>
    <t>8.04M</t>
  </si>
  <si>
    <t>Baby Grok (babygrok.ai)</t>
  </si>
  <si>
    <t>BABYGROK</t>
  </si>
  <si>
    <t>$0.088474</t>
  </si>
  <si>
    <t>$2,717,949</t>
  </si>
  <si>
    <t>$86,410</t>
  </si>
  <si>
    <t>320.72T</t>
  </si>
  <si>
    <t>Alpaca Finance</t>
  </si>
  <si>
    <t>ALPACA</t>
  </si>
  <si>
    <t>$0.01790</t>
  </si>
  <si>
    <t>0.64%</t>
  </si>
  <si>
    <t>$2,715,332</t>
  </si>
  <si>
    <t>$475,091</t>
  </si>
  <si>
    <t>151.66M</t>
  </si>
  <si>
    <t>Nitro</t>
  </si>
  <si>
    <t>NITRO</t>
  </si>
  <si>
    <t>$0.055381</t>
  </si>
  <si>
    <t>$2,203,902</t>
  </si>
  <si>
    <t>$537,558</t>
  </si>
  <si>
    <t>409.5B</t>
  </si>
  <si>
    <t>MarsDAO</t>
  </si>
  <si>
    <t>MDAO</t>
  </si>
  <si>
    <t>$0.03111</t>
  </si>
  <si>
    <t>$2,196,829</t>
  </si>
  <si>
    <t>$181,224</t>
  </si>
  <si>
    <t>70.59M</t>
  </si>
  <si>
    <t>Cypherium</t>
  </si>
  <si>
    <t>CPH</t>
  </si>
  <si>
    <t>$0.005725</t>
  </si>
  <si>
    <t>$2,192,711</t>
  </si>
  <si>
    <t>$55,232</t>
  </si>
  <si>
    <t>382.95M</t>
  </si>
  <si>
    <t>The Nation Token</t>
  </si>
  <si>
    <t>NATO</t>
  </si>
  <si>
    <t>$0.052193</t>
  </si>
  <si>
    <t>$2,193,844</t>
  </si>
  <si>
    <t>$238,266</t>
  </si>
  <si>
    <t>1T</t>
  </si>
  <si>
    <t>Orbit Chain</t>
  </si>
  <si>
    <t>ORC</t>
  </si>
  <si>
    <t>$0.003197</t>
  </si>
  <si>
    <t>$2,190,937</t>
  </si>
  <si>
    <t>685.09M</t>
  </si>
  <si>
    <t>Messiah</t>
  </si>
  <si>
    <t>MSIA</t>
  </si>
  <si>
    <t>$0.3023</t>
  </si>
  <si>
    <t>$2,187,874</t>
  </si>
  <si>
    <t>$49,762</t>
  </si>
  <si>
    <t>7.23M</t>
  </si>
  <si>
    <t>Xaya</t>
  </si>
  <si>
    <t>CHI</t>
  </si>
  <si>
    <t>$0.03800</t>
  </si>
  <si>
    <t>$2,179,537</t>
  </si>
  <si>
    <t>$1,268</t>
  </si>
  <si>
    <t>57.34M</t>
  </si>
  <si>
    <t>Shiba Predator</t>
  </si>
  <si>
    <t>QOM</t>
  </si>
  <si>
    <t>$0.083632</t>
  </si>
  <si>
    <t>1.05%</t>
  </si>
  <si>
    <t>$2,178,852</t>
  </si>
  <si>
    <t>$3,030</t>
  </si>
  <si>
    <t>599.88T</t>
  </si>
  <si>
    <t>Expand</t>
  </si>
  <si>
    <t>XZK</t>
  </si>
  <si>
    <t>$0.003261</t>
  </si>
  <si>
    <t>1.83%</t>
  </si>
  <si>
    <t>$2,188,825</t>
  </si>
  <si>
    <t>$69,711</t>
  </si>
  <si>
    <t>671.09M</t>
  </si>
  <si>
    <t>TypeAI</t>
  </si>
  <si>
    <t>TYPE</t>
  </si>
  <si>
    <t>$0.2167</t>
  </si>
  <si>
    <t>$2,167,793</t>
  </si>
  <si>
    <t>Plearn</t>
  </si>
  <si>
    <t>PLN</t>
  </si>
  <si>
    <t>$0.02041</t>
  </si>
  <si>
    <t>$1,756,805</t>
  </si>
  <si>
    <t>$90,761</t>
  </si>
  <si>
    <t>86.06M</t>
  </si>
  <si>
    <t>HODL Coin</t>
  </si>
  <si>
    <t>HODL</t>
  </si>
  <si>
    <t>$0.001755</t>
  </si>
  <si>
    <t>4.27%</t>
  </si>
  <si>
    <t>$1,755,788</t>
  </si>
  <si>
    <t>$403,029</t>
  </si>
  <si>
    <t>Neutrino Index</t>
  </si>
  <si>
    <t>XTN</t>
  </si>
  <si>
    <t>$0.03375</t>
  </si>
  <si>
    <t>$1,754,868</t>
  </si>
  <si>
    <t>$637</t>
  </si>
  <si>
    <t>51.98M</t>
  </si>
  <si>
    <t>ADAMANT Messenger</t>
  </si>
  <si>
    <t>ADM</t>
  </si>
  <si>
    <t>$0.01587</t>
  </si>
  <si>
    <t>$1,752,254</t>
  </si>
  <si>
    <t>$73,794</t>
  </si>
  <si>
    <t>110.37M</t>
  </si>
  <si>
    <t>Q Protocol</t>
  </si>
  <si>
    <t>QGOV</t>
  </si>
  <si>
    <t>$0.006551</t>
  </si>
  <si>
    <t>$1,747,236</t>
  </si>
  <si>
    <t>$99,738</t>
  </si>
  <si>
    <t>266.69M</t>
  </si>
  <si>
    <t>Carnomaly</t>
  </si>
  <si>
    <t>CARR</t>
  </si>
  <si>
    <t>$0.001085</t>
  </si>
  <si>
    <t>0.58%</t>
  </si>
  <si>
    <t>$1,745,226</t>
  </si>
  <si>
    <t>$57,798</t>
  </si>
  <si>
    <t>Tune.FM</t>
  </si>
  <si>
    <t>JAM</t>
  </si>
  <si>
    <t>$0.00005854</t>
  </si>
  <si>
    <t>$1,739,324</t>
  </si>
  <si>
    <t>$28,022</t>
  </si>
  <si>
    <t>29.7B</t>
  </si>
  <si>
    <t>Etherisc DIP Token</t>
  </si>
  <si>
    <t>DIP</t>
  </si>
  <si>
    <t>$0.007252</t>
  </si>
  <si>
    <t>$1,738,739</t>
  </si>
  <si>
    <t>$52</t>
  </si>
  <si>
    <t>239.74M</t>
  </si>
  <si>
    <t>IVPAY</t>
  </si>
  <si>
    <t>$0.001871</t>
  </si>
  <si>
    <t>0.26%</t>
  </si>
  <si>
    <t>$1,736,200</t>
  </si>
  <si>
    <t>$105,335</t>
  </si>
  <si>
    <t>927.74M</t>
  </si>
  <si>
    <t>Gemach</t>
  </si>
  <si>
    <t>GMAC</t>
  </si>
  <si>
    <t>$0.003466</t>
  </si>
  <si>
    <t>$1,733,212</t>
  </si>
  <si>
    <t>Allowed_Coin</t>
  </si>
  <si>
    <t>Row Labels</t>
  </si>
  <si>
    <t>Grand Total</t>
  </si>
  <si>
    <t>YES</t>
  </si>
  <si>
    <t>Volume_Numeric</t>
  </si>
  <si>
    <t>Sum of Volume_Numeric</t>
  </si>
  <si>
    <t>Crypto Coin Comparison Dashboard</t>
  </si>
  <si>
    <t>Coin 1</t>
  </si>
  <si>
    <t>Price</t>
  </si>
  <si>
    <t>Volume</t>
  </si>
  <si>
    <t>Coin 2</t>
  </si>
  <si>
    <t>MarketCap_Numeric</t>
  </si>
  <si>
    <t xml:space="preserve">  </t>
  </si>
  <si>
    <t>Price Category</t>
  </si>
  <si>
    <t>$0-$50</t>
  </si>
  <si>
    <t>sum of Volume_Numeric</t>
  </si>
  <si>
    <t>CurrentPrice_Num</t>
  </si>
  <si>
    <t>PreviousPrice</t>
  </si>
  <si>
    <t>PriceChange</t>
  </si>
  <si>
    <t>Price_Range</t>
  </si>
  <si>
    <t>Sum of PriceChange</t>
  </si>
  <si>
    <t>&gt;= $10</t>
  </si>
  <si>
    <t>Price_24h</t>
  </si>
  <si>
    <t>Price_7d</t>
  </si>
  <si>
    <t>(All)</t>
  </si>
  <si>
    <t>Sum of Price_24h</t>
  </si>
  <si>
    <t>Sum of Price_7d</t>
  </si>
  <si>
    <t>Price_0_5</t>
  </si>
  <si>
    <t>Sum of 1h Change (%)</t>
  </si>
  <si>
    <t>Investment Range</t>
  </si>
  <si>
    <t>Average Downfall %</t>
  </si>
  <si>
    <t>Average of Average Downfall %</t>
  </si>
  <si>
    <t>Count of Coin Name</t>
  </si>
  <si>
    <t>--------------------------------------------------------------</t>
  </si>
  <si>
    <t xml:space="preserve">                                 --------------------------------------------------------------</t>
  </si>
  <si>
    <t xml:space="preserve">         ------------------------------------------------------------------------</t>
  </si>
  <si>
    <r>
      <rPr>
        <sz val="11"/>
        <color theme="3" tint="9.9978637043366805E-2"/>
        <rFont val="Aptos Narrow"/>
        <family val="2"/>
        <scheme val="minor"/>
      </rPr>
      <t xml:space="preserve">     </t>
    </r>
    <r>
      <rPr>
        <b/>
        <sz val="18"/>
        <color theme="3" tint="9.9978637043366805E-2"/>
        <rFont val="Aptos Narrow"/>
        <family val="2"/>
        <scheme val="minor"/>
      </rPr>
      <t xml:space="preserve">        CRYPTO CURRENCY ANALYSIS DASHBOARD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</si>
</sst>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0%"/>
  </numFmts>
  <fonts count="12" x14ac:knownFonts="1">
    <font>
      <sz val="11"/>
      <color theme="1"/>
      <name val="Aptos Narrow"/>
      <family val="2"/>
      <scheme val="minor"/>
    </font>
    <font>
      <b/>
      <sz val="11"/>
      <name val="Calibri"/>
    </font>
    <font>
      <sz val="18"/>
      <color theme="1"/>
      <name val="Aptos Narrow"/>
      <family val="2"/>
      <scheme val="minor"/>
    </font>
    <font>
      <b/>
      <sz val="18"/>
      <color rgb="FFFF0000"/>
      <name val="Aptos Narrow"/>
      <family val="2"/>
      <scheme val="minor"/>
    </font>
    <font>
      <b/>
      <sz val="11"/>
      <color theme="1"/>
      <name val="Aptos Narrow"/>
      <family val="2"/>
      <scheme val="minor"/>
    </font>
    <font>
      <b/>
      <sz val="11"/>
      <color theme="7" tint="-0.249977111117893"/>
      <name val="Aptos Narrow"/>
      <family val="2"/>
      <scheme val="minor"/>
    </font>
    <font>
      <b/>
      <u/>
      <sz val="22"/>
      <color rgb="FF002060"/>
      <name val="Aptos Narrow"/>
      <family val="2"/>
      <scheme val="minor"/>
    </font>
    <font>
      <b/>
      <sz val="15"/>
      <color rgb="FF002060"/>
      <name val="Aptos Narrow"/>
      <family val="2"/>
      <scheme val="minor"/>
    </font>
    <font>
      <b/>
      <sz val="15"/>
      <color theme="1"/>
      <name val="Aptos Narrow"/>
      <family val="2"/>
      <scheme val="minor"/>
    </font>
    <font>
      <sz val="8"/>
      <name val="Aptos Narrow"/>
      <family val="2"/>
      <scheme val="minor"/>
    </font>
    <font>
      <sz val="11"/>
      <color theme="3" tint="9.9978637043366805E-2"/>
      <name val="Aptos Narrow"/>
      <family val="2"/>
      <scheme val="minor"/>
    </font>
    <font>
      <b/>
      <sz val="18"/>
      <color theme="3" tint="9.9978637043366805E-2"/>
      <name val="Aptos Narrow"/>
      <family val="2"/>
      <scheme val="minor"/>
    </font>
  </fonts>
  <fills count="2">
    <fill>
      <patternFill patternType="none"/>
    </fill>
    <fill>
      <patternFill patternType="gray125"/>
    </fill>
  </fills>
  <borders count="2">
    <border>
      <left/>
      <right/>
      <top/>
      <bottom/>
      <diagonal/>
    </border>
    <border>
      <left style="thin">
        <color auto="1"/>
      </left>
      <right style="thin">
        <color auto="1"/>
      </right>
      <top/>
      <bottom style="thin">
        <color auto="1"/>
      </bottom>
      <diagonal/>
    </border>
  </borders>
  <cellStyleXfs count="1">
    <xf numFmtId="0" fontId="0" fillId="0" borderId="0"/>
  </cellStyleXfs>
  <cellXfs count="21">
    <xf numFmtId="0" fontId="0" fillId="0" borderId="0" xfId="0"/>
    <xf numFmtId="0" fontId="1" fillId="0" borderId="1" xfId="0" applyFont="1" applyBorder="1" applyAlignment="1">
      <alignment horizontal="center" vertical="top"/>
    </xf>
    <xf numFmtId="0" fontId="0" fillId="0" borderId="0" xfId="0" pivotButton="1"/>
    <xf numFmtId="0" fontId="0" fillId="0" borderId="0" xfId="0" applyAlignment="1">
      <alignment horizontal="left"/>
    </xf>
    <xf numFmtId="3" fontId="0" fillId="0" borderId="0" xfId="0" applyNumberFormat="1"/>
    <xf numFmtId="0" fontId="3" fillId="0" borderId="0" xfId="0" applyFont="1" applyAlignment="1">
      <alignment wrapText="1"/>
    </xf>
    <xf numFmtId="0" fontId="2" fillId="0" borderId="0" xfId="0" applyFont="1"/>
    <xf numFmtId="0" fontId="4" fillId="0" borderId="0" xfId="0" applyFont="1" applyAlignment="1">
      <alignment horizontal="center" vertical="center" wrapText="1"/>
    </xf>
    <xf numFmtId="0" fontId="0" fillId="0" borderId="0" xfId="0" applyAlignment="1">
      <alignment vertical="center" wrapText="1"/>
    </xf>
    <xf numFmtId="0" fontId="4" fillId="0" borderId="0" xfId="0" applyFont="1"/>
    <xf numFmtId="0" fontId="0" fillId="0" borderId="0" xfId="0" applyAlignment="1">
      <alignment horizontal="center"/>
    </xf>
    <xf numFmtId="0" fontId="5" fillId="0" borderId="0" xfId="0" applyFont="1" applyAlignment="1">
      <alignment horizontal="center"/>
    </xf>
    <xf numFmtId="3" fontId="0" fillId="0" borderId="0" xfId="0" applyNumberFormat="1" applyAlignment="1">
      <alignment horizontal="center"/>
    </xf>
    <xf numFmtId="0" fontId="5" fillId="0" borderId="0" xfId="0" applyFont="1" applyAlignment="1">
      <alignment horizontal="center" wrapText="1"/>
    </xf>
    <xf numFmtId="0" fontId="7" fillId="0" borderId="0" xfId="0" applyFont="1" applyAlignment="1">
      <alignment vertical="center" wrapText="1"/>
    </xf>
    <xf numFmtId="0" fontId="8" fillId="0" borderId="0" xfId="0" applyFont="1" applyAlignment="1">
      <alignment vertical="center" wrapText="1"/>
    </xf>
    <xf numFmtId="0" fontId="0" fillId="0" borderId="0" xfId="0" applyAlignment="1">
      <alignment horizontal="left" indent="1"/>
    </xf>
    <xf numFmtId="164" fontId="0" fillId="0" borderId="0" xfId="0" applyNumberFormat="1"/>
    <xf numFmtId="0" fontId="6" fillId="0" borderId="0" xfId="0" applyFont="1" applyAlignment="1">
      <alignment horizontal="center"/>
    </xf>
    <xf numFmtId="0" fontId="0" fillId="0" borderId="0" xfId="0" applyAlignment="1">
      <alignment horizontal="center"/>
    </xf>
    <xf numFmtId="0" fontId="10" fillId="0" borderId="0" xfId="0" applyFont="1"/>
  </cellXfs>
  <cellStyles count="1">
    <cellStyle name="Normal" xfId="0" builtinId="0"/>
  </cellStyles>
  <dxfs count="24">
    <dxf>
      <numFmt numFmtId="164" formatCode="0.000000000%"/>
    </dxf>
    <dxf>
      <numFmt numFmtId="164" formatCode="0.000000000%"/>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1.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[Crypto_Analysis_Task.xlsm]Sheet1!Task3</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Sheet1!$B$3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370-466F-80B6-9C275DA62A5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370-466F-80B6-9C275DA62A5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370-466F-80B6-9C275DA62A5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370-466F-80B6-9C275DA62A5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370-466F-80B6-9C275DA62A5F}"/>
              </c:ext>
            </c:extLst>
          </c:dPt>
          <c:cat>
            <c:strRef>
              <c:f>Sheet1!$A$4:$A$9</c:f>
              <c:strCache>
                <c:ptCount val="5"/>
                <c:pt idx="0">
                  <c:v>Yala</c:v>
                </c:pt>
                <c:pt idx="1">
                  <c:v>AB</c:v>
                </c:pt>
                <c:pt idx="2">
                  <c:v>ADAMANT Messenger</c:v>
                </c:pt>
                <c:pt idx="3">
                  <c:v>ABBC Coin</c:v>
                </c:pt>
                <c:pt idx="4">
                  <c:v>Acala Token</c:v>
                </c:pt>
              </c:strCache>
            </c:strRef>
          </c:cat>
          <c:val>
            <c:numRef>
              <c:f>Sheet1!$B$4:$B$9</c:f>
              <c:numCache>
                <c:formatCode>General</c:formatCode>
                <c:ptCount val="5"/>
                <c:pt idx="0">
                  <c:v>2</c:v>
                </c:pt>
                <c:pt idx="1">
                  <c:v>1</c:v>
                </c:pt>
                <c:pt idx="2">
                  <c:v>1</c:v>
                </c:pt>
                <c:pt idx="3">
                  <c:v>1</c:v>
                </c:pt>
                <c:pt idx="4">
                  <c:v>1</c:v>
                </c:pt>
              </c:numCache>
            </c:numRef>
          </c:val>
          <c:extLst>
            <c:ext xmlns:c16="http://schemas.microsoft.com/office/drawing/2014/chart" uri="{C3380CC4-5D6E-409C-BE32-E72D297353CC}">
              <c16:uniqueId val="{00000000-AC12-40D0-A0B9-0AD9CF4838A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pct10">
      <a:fgClr>
        <a:schemeClr val="accent1"/>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[Crypto_Analysis_Task.xlsm]Sheet2!Task4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10 Price Change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Total</c:v>
                </c:pt>
              </c:strCache>
            </c:strRef>
          </c:tx>
          <c:spPr>
            <a:solidFill>
              <a:schemeClr val="accent1"/>
            </a:solidFill>
            <a:ln>
              <a:noFill/>
            </a:ln>
            <a:effectLst/>
          </c:spPr>
          <c:invertIfNegative val="0"/>
          <c:cat>
            <c:multiLvlStrRef>
              <c:f>Sheet2!$A$4:$A$20</c:f>
              <c:multiLvlStrCache>
                <c:ptCount val="8"/>
                <c:lvl>
                  <c:pt idx="0">
                    <c:v>AIH</c:v>
                  </c:pt>
                  <c:pt idx="1">
                    <c:v>BTC</c:v>
                  </c:pt>
                  <c:pt idx="2">
                    <c:v>BNB</c:v>
                  </c:pt>
                  <c:pt idx="3">
                    <c:v>AUCTION</c:v>
                  </c:pt>
                  <c:pt idx="4">
                    <c:v>ETH</c:v>
                  </c:pt>
                  <c:pt idx="5">
                    <c:v>SOL</c:v>
                  </c:pt>
                  <c:pt idx="6">
                    <c:v>TORN</c:v>
                  </c:pt>
                  <c:pt idx="7">
                    <c:v>ZEC</c:v>
                  </c:pt>
                </c:lvl>
                <c:lvl>
                  <c:pt idx="0">
                    <c:v>AIHub</c:v>
                  </c:pt>
                  <c:pt idx="1">
                    <c:v>Bitcoin</c:v>
                  </c:pt>
                  <c:pt idx="2">
                    <c:v>BNB</c:v>
                  </c:pt>
                  <c:pt idx="3">
                    <c:v>Bounce Token</c:v>
                  </c:pt>
                  <c:pt idx="4">
                    <c:v>Ethereum</c:v>
                  </c:pt>
                  <c:pt idx="5">
                    <c:v>Solana</c:v>
                  </c:pt>
                  <c:pt idx="6">
                    <c:v>Tornado Cash</c:v>
                  </c:pt>
                  <c:pt idx="7">
                    <c:v>Zcash</c:v>
                  </c:pt>
                </c:lvl>
              </c:multiLvlStrCache>
            </c:multiLvlStrRef>
          </c:cat>
          <c:val>
            <c:numRef>
              <c:f>Sheet2!$B$4:$B$20</c:f>
              <c:numCache>
                <c:formatCode>General</c:formatCode>
                <c:ptCount val="8"/>
                <c:pt idx="0">
                  <c:v>8.3830845771142748E-2</c:v>
                </c:pt>
                <c:pt idx="1">
                  <c:v>759.13226460070291</c:v>
                </c:pt>
                <c:pt idx="2">
                  <c:v>2.0708140462888878</c:v>
                </c:pt>
                <c:pt idx="3">
                  <c:v>2.1207464324916714E-2</c:v>
                </c:pt>
                <c:pt idx="4">
                  <c:v>19.830993726974157</c:v>
                </c:pt>
                <c:pt idx="5">
                  <c:v>1.6173506648144667</c:v>
                </c:pt>
                <c:pt idx="6">
                  <c:v>2.8228252194733017E-2</c:v>
                </c:pt>
                <c:pt idx="7">
                  <c:v>0.33690476190476204</c:v>
                </c:pt>
              </c:numCache>
            </c:numRef>
          </c:val>
          <c:extLst>
            <c:ext xmlns:c16="http://schemas.microsoft.com/office/drawing/2014/chart" uri="{C3380CC4-5D6E-409C-BE32-E72D297353CC}">
              <c16:uniqueId val="{00000000-E9BC-4F25-8342-DCB1F99DE9A4}"/>
            </c:ext>
          </c:extLst>
        </c:ser>
        <c:dLbls>
          <c:showLegendKey val="0"/>
          <c:showVal val="0"/>
          <c:showCatName val="0"/>
          <c:showSerName val="0"/>
          <c:showPercent val="0"/>
          <c:showBubbleSize val="0"/>
        </c:dLbls>
        <c:gapWidth val="219"/>
        <c:overlap val="-27"/>
        <c:axId val="1093881103"/>
        <c:axId val="1101930351"/>
      </c:barChart>
      <c:catAx>
        <c:axId val="1093881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1930351"/>
        <c:crosses val="autoZero"/>
        <c:auto val="1"/>
        <c:lblAlgn val="ctr"/>
        <c:lblOffset val="100"/>
        <c:noMultiLvlLbl val="0"/>
      </c:catAx>
      <c:valAx>
        <c:axId val="11019303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3881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[Crypto_Analysis_Task.xlsm]Sheet4!Task5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c:f>
              <c:strCache>
                <c:ptCount val="1"/>
                <c:pt idx="0">
                  <c:v>Sum of Price_24h</c:v>
                </c:pt>
              </c:strCache>
            </c:strRef>
          </c:tx>
          <c:spPr>
            <a:solidFill>
              <a:schemeClr val="accent1"/>
            </a:solidFill>
            <a:ln>
              <a:noFill/>
            </a:ln>
            <a:effectLst/>
          </c:spPr>
          <c:invertIfNegative val="0"/>
          <c:cat>
            <c:multiLvlStrRef>
              <c:f>Sheet4!$A$4:$A$24</c:f>
              <c:multiLvlStrCache>
                <c:ptCount val="10"/>
                <c:lvl>
                  <c:pt idx="0">
                    <c:v>APTM</c:v>
                  </c:pt>
                  <c:pt idx="1">
                    <c:v>BIM</c:v>
                  </c:pt>
                  <c:pt idx="2">
                    <c:v>XCP</c:v>
                  </c:pt>
                  <c:pt idx="3">
                    <c:v>FTN</c:v>
                  </c:pt>
                  <c:pt idx="4">
                    <c:v>GNS</c:v>
                  </c:pt>
                  <c:pt idx="5">
                    <c:v>LUR</c:v>
                  </c:pt>
                  <c:pt idx="6">
                    <c:v>PAIN</c:v>
                  </c:pt>
                  <c:pt idx="7">
                    <c:v>VANA</c:v>
                  </c:pt>
                  <c:pt idx="8">
                    <c:v>XRP</c:v>
                  </c:pt>
                  <c:pt idx="9">
                    <c:v>ZBU</c:v>
                  </c:pt>
                </c:lvl>
                <c:lvl>
                  <c:pt idx="0">
                    <c:v>Apertum</c:v>
                  </c:pt>
                  <c:pt idx="1">
                    <c:v>BIM</c:v>
                  </c:pt>
                  <c:pt idx="2">
                    <c:v>Counterparty</c:v>
                  </c:pt>
                  <c:pt idx="3">
                    <c:v>Fasttoken</c:v>
                  </c:pt>
                  <c:pt idx="4">
                    <c:v>Gains Network</c:v>
                  </c:pt>
                  <c:pt idx="5">
                    <c:v>Lumera Health</c:v>
                  </c:pt>
                  <c:pt idx="6">
                    <c:v>Pain (paintoken.com)</c:v>
                  </c:pt>
                  <c:pt idx="7">
                    <c:v>Vana</c:v>
                  </c:pt>
                  <c:pt idx="8">
                    <c:v>XRP</c:v>
                  </c:pt>
                  <c:pt idx="9">
                    <c:v>Zeebu</c:v>
                  </c:pt>
                </c:lvl>
              </c:multiLvlStrCache>
            </c:multiLvlStrRef>
          </c:cat>
          <c:val>
            <c:numRef>
              <c:f>Sheet4!$B$4:$B$24</c:f>
              <c:numCache>
                <c:formatCode>General</c:formatCode>
                <c:ptCount val="10"/>
                <c:pt idx="0">
                  <c:v>1.6216216216216217</c:v>
                </c:pt>
                <c:pt idx="1">
                  <c:v>2.8837488735355961</c:v>
                </c:pt>
                <c:pt idx="2">
                  <c:v>3.3830447402662394</c:v>
                </c:pt>
                <c:pt idx="3">
                  <c:v>4.5418167266906764</c:v>
                </c:pt>
                <c:pt idx="4">
                  <c:v>2.1767479185474969</c:v>
                </c:pt>
                <c:pt idx="5">
                  <c:v>2.6743949562741505</c:v>
                </c:pt>
                <c:pt idx="6">
                  <c:v>1.4204837879567678</c:v>
                </c:pt>
                <c:pt idx="7">
                  <c:v>4.2480713355375217</c:v>
                </c:pt>
                <c:pt idx="8">
                  <c:v>3.0336514314414864</c:v>
                </c:pt>
                <c:pt idx="9">
                  <c:v>1.9431089743589745</c:v>
                </c:pt>
              </c:numCache>
            </c:numRef>
          </c:val>
          <c:extLst>
            <c:ext xmlns:c16="http://schemas.microsoft.com/office/drawing/2014/chart" uri="{C3380CC4-5D6E-409C-BE32-E72D297353CC}">
              <c16:uniqueId val="{00000000-89B9-4A9C-8A87-87FF7587D8B1}"/>
            </c:ext>
          </c:extLst>
        </c:ser>
        <c:ser>
          <c:idx val="1"/>
          <c:order val="1"/>
          <c:tx>
            <c:strRef>
              <c:f>Sheet4!$C$3</c:f>
              <c:strCache>
                <c:ptCount val="1"/>
                <c:pt idx="0">
                  <c:v>Sum of Price_7d</c:v>
                </c:pt>
              </c:strCache>
            </c:strRef>
          </c:tx>
          <c:spPr>
            <a:solidFill>
              <a:schemeClr val="accent2"/>
            </a:solidFill>
            <a:ln>
              <a:noFill/>
            </a:ln>
            <a:effectLst/>
          </c:spPr>
          <c:invertIfNegative val="0"/>
          <c:cat>
            <c:multiLvlStrRef>
              <c:f>Sheet4!$A$4:$A$24</c:f>
              <c:multiLvlStrCache>
                <c:ptCount val="10"/>
                <c:lvl>
                  <c:pt idx="0">
                    <c:v>APTM</c:v>
                  </c:pt>
                  <c:pt idx="1">
                    <c:v>BIM</c:v>
                  </c:pt>
                  <c:pt idx="2">
                    <c:v>XCP</c:v>
                  </c:pt>
                  <c:pt idx="3">
                    <c:v>FTN</c:v>
                  </c:pt>
                  <c:pt idx="4">
                    <c:v>GNS</c:v>
                  </c:pt>
                  <c:pt idx="5">
                    <c:v>LUR</c:v>
                  </c:pt>
                  <c:pt idx="6">
                    <c:v>PAIN</c:v>
                  </c:pt>
                  <c:pt idx="7">
                    <c:v>VANA</c:v>
                  </c:pt>
                  <c:pt idx="8">
                    <c:v>XRP</c:v>
                  </c:pt>
                  <c:pt idx="9">
                    <c:v>ZBU</c:v>
                  </c:pt>
                </c:lvl>
                <c:lvl>
                  <c:pt idx="0">
                    <c:v>Apertum</c:v>
                  </c:pt>
                  <c:pt idx="1">
                    <c:v>BIM</c:v>
                  </c:pt>
                  <c:pt idx="2">
                    <c:v>Counterparty</c:v>
                  </c:pt>
                  <c:pt idx="3">
                    <c:v>Fasttoken</c:v>
                  </c:pt>
                  <c:pt idx="4">
                    <c:v>Gains Network</c:v>
                  </c:pt>
                  <c:pt idx="5">
                    <c:v>Lumera Health</c:v>
                  </c:pt>
                  <c:pt idx="6">
                    <c:v>Pain (paintoken.com)</c:v>
                  </c:pt>
                  <c:pt idx="7">
                    <c:v>Vana</c:v>
                  </c:pt>
                  <c:pt idx="8">
                    <c:v>XRP</c:v>
                  </c:pt>
                  <c:pt idx="9">
                    <c:v>Zeebu</c:v>
                  </c:pt>
                </c:lvl>
              </c:multiLvlStrCache>
            </c:multiLvlStrRef>
          </c:cat>
          <c:val>
            <c:numRef>
              <c:f>Sheet4!$C$4:$C$24</c:f>
              <c:numCache>
                <c:formatCode>General</c:formatCode>
                <c:ptCount val="10"/>
                <c:pt idx="0">
                  <c:v>1.6216199999999998</c:v>
                </c:pt>
                <c:pt idx="1">
                  <c:v>2.8837440000000001</c:v>
                </c:pt>
                <c:pt idx="2">
                  <c:v>3.3830419999999997</c:v>
                </c:pt>
                <c:pt idx="3">
                  <c:v>4.5418159999999999</c:v>
                </c:pt>
                <c:pt idx="4">
                  <c:v>2.1767270000000001</c:v>
                </c:pt>
                <c:pt idx="5">
                  <c:v>2.6736579999999996</c:v>
                </c:pt>
                <c:pt idx="6">
                  <c:v>1.4193299999999998</c:v>
                </c:pt>
                <c:pt idx="7">
                  <c:v>4.2480560000000001</c:v>
                </c:pt>
                <c:pt idx="8">
                  <c:v>3.0335899999999998</c:v>
                </c:pt>
                <c:pt idx="9">
                  <c:v>1.9431039999999999</c:v>
                </c:pt>
              </c:numCache>
            </c:numRef>
          </c:val>
          <c:extLst>
            <c:ext xmlns:c16="http://schemas.microsoft.com/office/drawing/2014/chart" uri="{C3380CC4-5D6E-409C-BE32-E72D297353CC}">
              <c16:uniqueId val="{00000001-89B9-4A9C-8A87-87FF7587D8B1}"/>
            </c:ext>
          </c:extLst>
        </c:ser>
        <c:ser>
          <c:idx val="2"/>
          <c:order val="2"/>
          <c:tx>
            <c:strRef>
              <c:f>Sheet4!$D$3</c:f>
              <c:strCache>
                <c:ptCount val="1"/>
                <c:pt idx="0">
                  <c:v>Sum of 1h Change (%)</c:v>
                </c:pt>
              </c:strCache>
            </c:strRef>
          </c:tx>
          <c:spPr>
            <a:solidFill>
              <a:schemeClr val="accent3"/>
            </a:solidFill>
            <a:ln>
              <a:noFill/>
            </a:ln>
            <a:effectLst/>
          </c:spPr>
          <c:invertIfNegative val="0"/>
          <c:cat>
            <c:multiLvlStrRef>
              <c:f>Sheet4!$A$4:$A$24</c:f>
              <c:multiLvlStrCache>
                <c:ptCount val="10"/>
                <c:lvl>
                  <c:pt idx="0">
                    <c:v>APTM</c:v>
                  </c:pt>
                  <c:pt idx="1">
                    <c:v>BIM</c:v>
                  </c:pt>
                  <c:pt idx="2">
                    <c:v>XCP</c:v>
                  </c:pt>
                  <c:pt idx="3">
                    <c:v>FTN</c:v>
                  </c:pt>
                  <c:pt idx="4">
                    <c:v>GNS</c:v>
                  </c:pt>
                  <c:pt idx="5">
                    <c:v>LUR</c:v>
                  </c:pt>
                  <c:pt idx="6">
                    <c:v>PAIN</c:v>
                  </c:pt>
                  <c:pt idx="7">
                    <c:v>VANA</c:v>
                  </c:pt>
                  <c:pt idx="8">
                    <c:v>XRP</c:v>
                  </c:pt>
                  <c:pt idx="9">
                    <c:v>ZBU</c:v>
                  </c:pt>
                </c:lvl>
                <c:lvl>
                  <c:pt idx="0">
                    <c:v>Apertum</c:v>
                  </c:pt>
                  <c:pt idx="1">
                    <c:v>BIM</c:v>
                  </c:pt>
                  <c:pt idx="2">
                    <c:v>Counterparty</c:v>
                  </c:pt>
                  <c:pt idx="3">
                    <c:v>Fasttoken</c:v>
                  </c:pt>
                  <c:pt idx="4">
                    <c:v>Gains Network</c:v>
                  </c:pt>
                  <c:pt idx="5">
                    <c:v>Lumera Health</c:v>
                  </c:pt>
                  <c:pt idx="6">
                    <c:v>Pain (paintoken.com)</c:v>
                  </c:pt>
                  <c:pt idx="7">
                    <c:v>Vana</c:v>
                  </c:pt>
                  <c:pt idx="8">
                    <c:v>XRP</c:v>
                  </c:pt>
                  <c:pt idx="9">
                    <c:v>Zeebu</c:v>
                  </c:pt>
                </c:lvl>
              </c:multiLvlStrCache>
            </c:multiLvlStrRef>
          </c:cat>
          <c:val>
            <c:numRef>
              <c:f>Sheet4!$D$4:$D$24</c:f>
              <c:numCache>
                <c:formatCode>General</c:formatCode>
                <c:ptCount val="10"/>
                <c:pt idx="0">
                  <c:v>1E-3</c:v>
                </c:pt>
                <c:pt idx="1">
                  <c:v>1.2999999999999999E-3</c:v>
                </c:pt>
                <c:pt idx="2">
                  <c:v>8.9999999999999998E-4</c:v>
                </c:pt>
                <c:pt idx="3">
                  <c:v>4.0000000000000002E-4</c:v>
                </c:pt>
                <c:pt idx="4">
                  <c:v>3.0999999999999999E-3</c:v>
                </c:pt>
                <c:pt idx="5">
                  <c:v>1.66E-2</c:v>
                </c:pt>
                <c:pt idx="6">
                  <c:v>2.8500000000000001E-2</c:v>
                </c:pt>
                <c:pt idx="7">
                  <c:v>1.9E-3</c:v>
                </c:pt>
                <c:pt idx="8">
                  <c:v>4.4999999999999997E-3</c:v>
                </c:pt>
                <c:pt idx="9">
                  <c:v>1.6000000000000001E-3</c:v>
                </c:pt>
              </c:numCache>
            </c:numRef>
          </c:val>
          <c:extLst>
            <c:ext xmlns:c16="http://schemas.microsoft.com/office/drawing/2014/chart" uri="{C3380CC4-5D6E-409C-BE32-E72D297353CC}">
              <c16:uniqueId val="{00000002-89B9-4A9C-8A87-87FF7587D8B1}"/>
            </c:ext>
          </c:extLst>
        </c:ser>
        <c:dLbls>
          <c:showLegendKey val="0"/>
          <c:showVal val="0"/>
          <c:showCatName val="0"/>
          <c:showSerName val="0"/>
          <c:showPercent val="0"/>
          <c:showBubbleSize val="0"/>
        </c:dLbls>
        <c:gapWidth val="219"/>
        <c:overlap val="-27"/>
        <c:axId val="766643200"/>
        <c:axId val="1262779312"/>
      </c:barChart>
      <c:catAx>
        <c:axId val="76664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2779312"/>
        <c:crosses val="autoZero"/>
        <c:auto val="1"/>
        <c:lblAlgn val="ctr"/>
        <c:lblOffset val="100"/>
        <c:noMultiLvlLbl val="0"/>
      </c:catAx>
      <c:valAx>
        <c:axId val="1262779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643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[Crypto_Analysis_Task.xlsm]Pivot_Tables!PivotTable2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 10 Crypto Coins by 24h Volume</a:t>
            </a:r>
          </a:p>
        </c:rich>
      </c:tx>
      <c:layout>
        <c:manualLayout>
          <c:xMode val="edge"/>
          <c:yMode val="edge"/>
          <c:x val="0.29766666666666669"/>
          <c:y val="4.88845144356955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Pivot_Tables!$B$3</c:f>
              <c:strCache>
                <c:ptCount val="1"/>
                <c:pt idx="0">
                  <c:v>Total</c:v>
                </c:pt>
              </c:strCache>
            </c:strRef>
          </c:tx>
          <c:spPr>
            <a:solidFill>
              <a:schemeClr val="accent1"/>
            </a:solidFill>
            <a:ln>
              <a:noFill/>
            </a:ln>
            <a:effectLst/>
          </c:spPr>
          <c:invertIfNegative val="0"/>
          <c:cat>
            <c:strRef>
              <c:f>Pivot_Tables!$A$4:$A$14</c:f>
              <c:strCache>
                <c:ptCount val="10"/>
                <c:pt idx="0">
                  <c:v>Bitcoin</c:v>
                </c:pt>
                <c:pt idx="1">
                  <c:v>Ethereum</c:v>
                </c:pt>
                <c:pt idx="2">
                  <c:v>USDC</c:v>
                </c:pt>
                <c:pt idx="3">
                  <c:v>BNB</c:v>
                </c:pt>
                <c:pt idx="4">
                  <c:v>Dogecoin</c:v>
                </c:pt>
                <c:pt idx="5">
                  <c:v>Cardano</c:v>
                </c:pt>
                <c:pt idx="6">
                  <c:v>BitTorrent [New]</c:v>
                </c:pt>
                <c:pt idx="7">
                  <c:v>AB</c:v>
                </c:pt>
                <c:pt idx="8">
                  <c:v>Bounce Token</c:v>
                </c:pt>
                <c:pt idx="9">
                  <c:v>Decentraland</c:v>
                </c:pt>
              </c:strCache>
            </c:strRef>
          </c:cat>
          <c:val>
            <c:numRef>
              <c:f>Pivot_Tables!$B$4:$B$14</c:f>
              <c:numCache>
                <c:formatCode>#,##0</c:formatCode>
                <c:ptCount val="10"/>
                <c:pt idx="0">
                  <c:v>61196410006</c:v>
                </c:pt>
                <c:pt idx="1">
                  <c:v>43714609700</c:v>
                </c:pt>
                <c:pt idx="2">
                  <c:v>17027792821</c:v>
                </c:pt>
                <c:pt idx="3">
                  <c:v>2278674127</c:v>
                </c:pt>
                <c:pt idx="4">
                  <c:v>1961967012</c:v>
                </c:pt>
                <c:pt idx="5">
                  <c:v>1153461846</c:v>
                </c:pt>
                <c:pt idx="6">
                  <c:v>29706225</c:v>
                </c:pt>
                <c:pt idx="7">
                  <c:v>29038108</c:v>
                </c:pt>
                <c:pt idx="8">
                  <c:v>27805860</c:v>
                </c:pt>
                <c:pt idx="9">
                  <c:v>27296450</c:v>
                </c:pt>
              </c:numCache>
            </c:numRef>
          </c:val>
          <c:extLst>
            <c:ext xmlns:c16="http://schemas.microsoft.com/office/drawing/2014/chart" uri="{C3380CC4-5D6E-409C-BE32-E72D297353CC}">
              <c16:uniqueId val="{00000000-9F66-420C-959F-BF2D87C48D68}"/>
            </c:ext>
          </c:extLst>
        </c:ser>
        <c:dLbls>
          <c:showLegendKey val="0"/>
          <c:showVal val="0"/>
          <c:showCatName val="0"/>
          <c:showSerName val="0"/>
          <c:showPercent val="0"/>
          <c:showBubbleSize val="0"/>
        </c:dLbls>
        <c:gapWidth val="219"/>
        <c:overlap val="-27"/>
        <c:axId val="587713856"/>
        <c:axId val="1564702704"/>
      </c:barChart>
      <c:catAx>
        <c:axId val="58771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4702704"/>
        <c:crosses val="autoZero"/>
        <c:auto val="1"/>
        <c:lblAlgn val="ctr"/>
        <c:lblOffset val="100"/>
        <c:noMultiLvlLbl val="0"/>
      </c:catAx>
      <c:valAx>
        <c:axId val="15647027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7713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[Crypto_Analysis_Task.xlsm]Pivot_Tables!PivotTable2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 10 Crypto Coins by 24h Volume</a:t>
            </a:r>
          </a:p>
        </c:rich>
      </c:tx>
      <c:layout>
        <c:manualLayout>
          <c:xMode val="edge"/>
          <c:yMode val="edge"/>
          <c:x val="0.29766666666666669"/>
          <c:y val="4.88845144356955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Pivot_Tables!$B$3</c:f>
              <c:strCache>
                <c:ptCount val="1"/>
                <c:pt idx="0">
                  <c:v>Total</c:v>
                </c:pt>
              </c:strCache>
            </c:strRef>
          </c:tx>
          <c:spPr>
            <a:solidFill>
              <a:schemeClr val="accent1"/>
            </a:solidFill>
            <a:ln>
              <a:noFill/>
            </a:ln>
            <a:effectLst/>
          </c:spPr>
          <c:invertIfNegative val="0"/>
          <c:cat>
            <c:strRef>
              <c:f>Pivot_Tables!$A$4:$A$14</c:f>
              <c:strCache>
                <c:ptCount val="10"/>
                <c:pt idx="0">
                  <c:v>Bitcoin</c:v>
                </c:pt>
                <c:pt idx="1">
                  <c:v>Ethereum</c:v>
                </c:pt>
                <c:pt idx="2">
                  <c:v>USDC</c:v>
                </c:pt>
                <c:pt idx="3">
                  <c:v>BNB</c:v>
                </c:pt>
                <c:pt idx="4">
                  <c:v>Dogecoin</c:v>
                </c:pt>
                <c:pt idx="5">
                  <c:v>Cardano</c:v>
                </c:pt>
                <c:pt idx="6">
                  <c:v>BitTorrent [New]</c:v>
                </c:pt>
                <c:pt idx="7">
                  <c:v>AB</c:v>
                </c:pt>
                <c:pt idx="8">
                  <c:v>Bounce Token</c:v>
                </c:pt>
                <c:pt idx="9">
                  <c:v>Decentraland</c:v>
                </c:pt>
              </c:strCache>
            </c:strRef>
          </c:cat>
          <c:val>
            <c:numRef>
              <c:f>Pivot_Tables!$B$4:$B$14</c:f>
              <c:numCache>
                <c:formatCode>#,##0</c:formatCode>
                <c:ptCount val="10"/>
                <c:pt idx="0">
                  <c:v>61196410006</c:v>
                </c:pt>
                <c:pt idx="1">
                  <c:v>43714609700</c:v>
                </c:pt>
                <c:pt idx="2">
                  <c:v>17027792821</c:v>
                </c:pt>
                <c:pt idx="3">
                  <c:v>2278674127</c:v>
                </c:pt>
                <c:pt idx="4">
                  <c:v>1961967012</c:v>
                </c:pt>
                <c:pt idx="5">
                  <c:v>1153461846</c:v>
                </c:pt>
                <c:pt idx="6">
                  <c:v>29706225</c:v>
                </c:pt>
                <c:pt idx="7">
                  <c:v>29038108</c:v>
                </c:pt>
                <c:pt idx="8">
                  <c:v>27805860</c:v>
                </c:pt>
                <c:pt idx="9">
                  <c:v>27296450</c:v>
                </c:pt>
              </c:numCache>
            </c:numRef>
          </c:val>
          <c:extLst>
            <c:ext xmlns:c16="http://schemas.microsoft.com/office/drawing/2014/chart" uri="{C3380CC4-5D6E-409C-BE32-E72D297353CC}">
              <c16:uniqueId val="{00000000-24E0-41E4-97AC-E3ECAEC89757}"/>
            </c:ext>
          </c:extLst>
        </c:ser>
        <c:dLbls>
          <c:showLegendKey val="0"/>
          <c:showVal val="0"/>
          <c:showCatName val="0"/>
          <c:showSerName val="0"/>
          <c:showPercent val="0"/>
          <c:showBubbleSize val="0"/>
        </c:dLbls>
        <c:gapWidth val="219"/>
        <c:overlap val="-27"/>
        <c:axId val="587713856"/>
        <c:axId val="1564702704"/>
      </c:barChart>
      <c:catAx>
        <c:axId val="58771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4702704"/>
        <c:crosses val="autoZero"/>
        <c:auto val="1"/>
        <c:lblAlgn val="ctr"/>
        <c:lblOffset val="100"/>
        <c:noMultiLvlLbl val="0"/>
      </c:catAx>
      <c:valAx>
        <c:axId val="15647027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7713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[Crypto_Analysis_Task.xlsm]Sheet4!Task5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c:f>
              <c:strCache>
                <c:ptCount val="1"/>
                <c:pt idx="0">
                  <c:v>Sum of Price_24h</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Sheet4!$A$4:$A$24</c:f>
              <c:multiLvlStrCache>
                <c:ptCount val="10"/>
                <c:lvl>
                  <c:pt idx="0">
                    <c:v>APTM</c:v>
                  </c:pt>
                  <c:pt idx="1">
                    <c:v>BIM</c:v>
                  </c:pt>
                  <c:pt idx="2">
                    <c:v>XCP</c:v>
                  </c:pt>
                  <c:pt idx="3">
                    <c:v>FTN</c:v>
                  </c:pt>
                  <c:pt idx="4">
                    <c:v>GNS</c:v>
                  </c:pt>
                  <c:pt idx="5">
                    <c:v>LUR</c:v>
                  </c:pt>
                  <c:pt idx="6">
                    <c:v>PAIN</c:v>
                  </c:pt>
                  <c:pt idx="7">
                    <c:v>VANA</c:v>
                  </c:pt>
                  <c:pt idx="8">
                    <c:v>XRP</c:v>
                  </c:pt>
                  <c:pt idx="9">
                    <c:v>ZBU</c:v>
                  </c:pt>
                </c:lvl>
                <c:lvl>
                  <c:pt idx="0">
                    <c:v>Apertum</c:v>
                  </c:pt>
                  <c:pt idx="1">
                    <c:v>BIM</c:v>
                  </c:pt>
                  <c:pt idx="2">
                    <c:v>Counterparty</c:v>
                  </c:pt>
                  <c:pt idx="3">
                    <c:v>Fasttoken</c:v>
                  </c:pt>
                  <c:pt idx="4">
                    <c:v>Gains Network</c:v>
                  </c:pt>
                  <c:pt idx="5">
                    <c:v>Lumera Health</c:v>
                  </c:pt>
                  <c:pt idx="6">
                    <c:v>Pain (paintoken.com)</c:v>
                  </c:pt>
                  <c:pt idx="7">
                    <c:v>Vana</c:v>
                  </c:pt>
                  <c:pt idx="8">
                    <c:v>XRP</c:v>
                  </c:pt>
                  <c:pt idx="9">
                    <c:v>Zeebu</c:v>
                  </c:pt>
                </c:lvl>
              </c:multiLvlStrCache>
            </c:multiLvlStrRef>
          </c:cat>
          <c:val>
            <c:numRef>
              <c:f>Sheet4!$B$4:$B$24</c:f>
              <c:numCache>
                <c:formatCode>General</c:formatCode>
                <c:ptCount val="10"/>
                <c:pt idx="0">
                  <c:v>1.6216216216216217</c:v>
                </c:pt>
                <c:pt idx="1">
                  <c:v>2.8837488735355961</c:v>
                </c:pt>
                <c:pt idx="2">
                  <c:v>3.3830447402662394</c:v>
                </c:pt>
                <c:pt idx="3">
                  <c:v>4.5418167266906764</c:v>
                </c:pt>
                <c:pt idx="4">
                  <c:v>2.1767479185474969</c:v>
                </c:pt>
                <c:pt idx="5">
                  <c:v>2.6743949562741505</c:v>
                </c:pt>
                <c:pt idx="6">
                  <c:v>1.4204837879567678</c:v>
                </c:pt>
                <c:pt idx="7">
                  <c:v>4.2480713355375217</c:v>
                </c:pt>
                <c:pt idx="8">
                  <c:v>3.0336514314414864</c:v>
                </c:pt>
                <c:pt idx="9">
                  <c:v>1.9431089743589745</c:v>
                </c:pt>
              </c:numCache>
            </c:numRef>
          </c:val>
          <c:extLst>
            <c:ext xmlns:c16="http://schemas.microsoft.com/office/drawing/2014/chart" uri="{C3380CC4-5D6E-409C-BE32-E72D297353CC}">
              <c16:uniqueId val="{00000000-64BA-4E32-AA33-20D9618E97FD}"/>
            </c:ext>
          </c:extLst>
        </c:ser>
        <c:ser>
          <c:idx val="1"/>
          <c:order val="1"/>
          <c:tx>
            <c:strRef>
              <c:f>Sheet4!$C$3</c:f>
              <c:strCache>
                <c:ptCount val="1"/>
                <c:pt idx="0">
                  <c:v>Sum of Price_7d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Sheet4!$A$4:$A$24</c:f>
              <c:multiLvlStrCache>
                <c:ptCount val="10"/>
                <c:lvl>
                  <c:pt idx="0">
                    <c:v>APTM</c:v>
                  </c:pt>
                  <c:pt idx="1">
                    <c:v>BIM</c:v>
                  </c:pt>
                  <c:pt idx="2">
                    <c:v>XCP</c:v>
                  </c:pt>
                  <c:pt idx="3">
                    <c:v>FTN</c:v>
                  </c:pt>
                  <c:pt idx="4">
                    <c:v>GNS</c:v>
                  </c:pt>
                  <c:pt idx="5">
                    <c:v>LUR</c:v>
                  </c:pt>
                  <c:pt idx="6">
                    <c:v>PAIN</c:v>
                  </c:pt>
                  <c:pt idx="7">
                    <c:v>VANA</c:v>
                  </c:pt>
                  <c:pt idx="8">
                    <c:v>XRP</c:v>
                  </c:pt>
                  <c:pt idx="9">
                    <c:v>ZBU</c:v>
                  </c:pt>
                </c:lvl>
                <c:lvl>
                  <c:pt idx="0">
                    <c:v>Apertum</c:v>
                  </c:pt>
                  <c:pt idx="1">
                    <c:v>BIM</c:v>
                  </c:pt>
                  <c:pt idx="2">
                    <c:v>Counterparty</c:v>
                  </c:pt>
                  <c:pt idx="3">
                    <c:v>Fasttoken</c:v>
                  </c:pt>
                  <c:pt idx="4">
                    <c:v>Gains Network</c:v>
                  </c:pt>
                  <c:pt idx="5">
                    <c:v>Lumera Health</c:v>
                  </c:pt>
                  <c:pt idx="6">
                    <c:v>Pain (paintoken.com)</c:v>
                  </c:pt>
                  <c:pt idx="7">
                    <c:v>Vana</c:v>
                  </c:pt>
                  <c:pt idx="8">
                    <c:v>XRP</c:v>
                  </c:pt>
                  <c:pt idx="9">
                    <c:v>Zeebu</c:v>
                  </c:pt>
                </c:lvl>
              </c:multiLvlStrCache>
            </c:multiLvlStrRef>
          </c:cat>
          <c:val>
            <c:numRef>
              <c:f>Sheet4!$C$4:$C$24</c:f>
              <c:numCache>
                <c:formatCode>General</c:formatCode>
                <c:ptCount val="10"/>
                <c:pt idx="0">
                  <c:v>1.6216199999999998</c:v>
                </c:pt>
                <c:pt idx="1">
                  <c:v>2.8837440000000001</c:v>
                </c:pt>
                <c:pt idx="2">
                  <c:v>3.3830419999999997</c:v>
                </c:pt>
                <c:pt idx="3">
                  <c:v>4.5418159999999999</c:v>
                </c:pt>
                <c:pt idx="4">
                  <c:v>2.1767270000000001</c:v>
                </c:pt>
                <c:pt idx="5">
                  <c:v>2.6736579999999996</c:v>
                </c:pt>
                <c:pt idx="6">
                  <c:v>1.4193299999999998</c:v>
                </c:pt>
                <c:pt idx="7">
                  <c:v>4.2480560000000001</c:v>
                </c:pt>
                <c:pt idx="8">
                  <c:v>3.0335899999999998</c:v>
                </c:pt>
                <c:pt idx="9">
                  <c:v>1.9431039999999999</c:v>
                </c:pt>
              </c:numCache>
            </c:numRef>
          </c:val>
          <c:extLst>
            <c:ext xmlns:c16="http://schemas.microsoft.com/office/drawing/2014/chart" uri="{C3380CC4-5D6E-409C-BE32-E72D297353CC}">
              <c16:uniqueId val="{00000001-64BA-4E32-AA33-20D9618E97FD}"/>
            </c:ext>
          </c:extLst>
        </c:ser>
        <c:ser>
          <c:idx val="2"/>
          <c:order val="2"/>
          <c:tx>
            <c:strRef>
              <c:f>Sheet4!$D$3</c:f>
              <c:strCache>
                <c:ptCount val="1"/>
                <c:pt idx="0">
                  <c:v>Sum of 1h Change (%)</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Sheet4!$A$4:$A$24</c:f>
              <c:multiLvlStrCache>
                <c:ptCount val="10"/>
                <c:lvl>
                  <c:pt idx="0">
                    <c:v>APTM</c:v>
                  </c:pt>
                  <c:pt idx="1">
                    <c:v>BIM</c:v>
                  </c:pt>
                  <c:pt idx="2">
                    <c:v>XCP</c:v>
                  </c:pt>
                  <c:pt idx="3">
                    <c:v>FTN</c:v>
                  </c:pt>
                  <c:pt idx="4">
                    <c:v>GNS</c:v>
                  </c:pt>
                  <c:pt idx="5">
                    <c:v>LUR</c:v>
                  </c:pt>
                  <c:pt idx="6">
                    <c:v>PAIN</c:v>
                  </c:pt>
                  <c:pt idx="7">
                    <c:v>VANA</c:v>
                  </c:pt>
                  <c:pt idx="8">
                    <c:v>XRP</c:v>
                  </c:pt>
                  <c:pt idx="9">
                    <c:v>ZBU</c:v>
                  </c:pt>
                </c:lvl>
                <c:lvl>
                  <c:pt idx="0">
                    <c:v>Apertum</c:v>
                  </c:pt>
                  <c:pt idx="1">
                    <c:v>BIM</c:v>
                  </c:pt>
                  <c:pt idx="2">
                    <c:v>Counterparty</c:v>
                  </c:pt>
                  <c:pt idx="3">
                    <c:v>Fasttoken</c:v>
                  </c:pt>
                  <c:pt idx="4">
                    <c:v>Gains Network</c:v>
                  </c:pt>
                  <c:pt idx="5">
                    <c:v>Lumera Health</c:v>
                  </c:pt>
                  <c:pt idx="6">
                    <c:v>Pain (paintoken.com)</c:v>
                  </c:pt>
                  <c:pt idx="7">
                    <c:v>Vana</c:v>
                  </c:pt>
                  <c:pt idx="8">
                    <c:v>XRP</c:v>
                  </c:pt>
                  <c:pt idx="9">
                    <c:v>Zeebu</c:v>
                  </c:pt>
                </c:lvl>
              </c:multiLvlStrCache>
            </c:multiLvlStrRef>
          </c:cat>
          <c:val>
            <c:numRef>
              <c:f>Sheet4!$D$4:$D$24</c:f>
              <c:numCache>
                <c:formatCode>General</c:formatCode>
                <c:ptCount val="10"/>
                <c:pt idx="0">
                  <c:v>1E-3</c:v>
                </c:pt>
                <c:pt idx="1">
                  <c:v>1.2999999999999999E-3</c:v>
                </c:pt>
                <c:pt idx="2">
                  <c:v>8.9999999999999998E-4</c:v>
                </c:pt>
                <c:pt idx="3">
                  <c:v>4.0000000000000002E-4</c:v>
                </c:pt>
                <c:pt idx="4">
                  <c:v>3.0999999999999999E-3</c:v>
                </c:pt>
                <c:pt idx="5">
                  <c:v>1.66E-2</c:v>
                </c:pt>
                <c:pt idx="6">
                  <c:v>2.8500000000000001E-2</c:v>
                </c:pt>
                <c:pt idx="7">
                  <c:v>1.9E-3</c:v>
                </c:pt>
                <c:pt idx="8">
                  <c:v>4.4999999999999997E-3</c:v>
                </c:pt>
                <c:pt idx="9">
                  <c:v>1.6000000000000001E-3</c:v>
                </c:pt>
              </c:numCache>
            </c:numRef>
          </c:val>
          <c:extLst>
            <c:ext xmlns:c16="http://schemas.microsoft.com/office/drawing/2014/chart" uri="{C3380CC4-5D6E-409C-BE32-E72D297353CC}">
              <c16:uniqueId val="{00000002-64BA-4E32-AA33-20D9618E97FD}"/>
            </c:ext>
          </c:extLst>
        </c:ser>
        <c:dLbls>
          <c:showLegendKey val="0"/>
          <c:showVal val="0"/>
          <c:showCatName val="0"/>
          <c:showSerName val="0"/>
          <c:showPercent val="0"/>
          <c:showBubbleSize val="0"/>
        </c:dLbls>
        <c:gapWidth val="100"/>
        <c:overlap val="-24"/>
        <c:axId val="766643200"/>
        <c:axId val="1262779312"/>
      </c:barChart>
      <c:catAx>
        <c:axId val="7666432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62779312"/>
        <c:crosses val="autoZero"/>
        <c:auto val="1"/>
        <c:lblAlgn val="ctr"/>
        <c:lblOffset val="100"/>
        <c:noMultiLvlLbl val="0"/>
      </c:catAx>
      <c:valAx>
        <c:axId val="126277931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66643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[Crypto_Analysis_Task.xlsm]Sheet2!Task4</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Top 10 Price Change Comparison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Sheet2!$A$4:$A$20</c:f>
              <c:multiLvlStrCache>
                <c:ptCount val="8"/>
                <c:lvl>
                  <c:pt idx="0">
                    <c:v>AIH</c:v>
                  </c:pt>
                  <c:pt idx="1">
                    <c:v>BTC</c:v>
                  </c:pt>
                  <c:pt idx="2">
                    <c:v>BNB</c:v>
                  </c:pt>
                  <c:pt idx="3">
                    <c:v>AUCTION</c:v>
                  </c:pt>
                  <c:pt idx="4">
                    <c:v>ETH</c:v>
                  </c:pt>
                  <c:pt idx="5">
                    <c:v>SOL</c:v>
                  </c:pt>
                  <c:pt idx="6">
                    <c:v>TORN</c:v>
                  </c:pt>
                  <c:pt idx="7">
                    <c:v>ZEC</c:v>
                  </c:pt>
                </c:lvl>
                <c:lvl>
                  <c:pt idx="0">
                    <c:v>AIHub</c:v>
                  </c:pt>
                  <c:pt idx="1">
                    <c:v>Bitcoin</c:v>
                  </c:pt>
                  <c:pt idx="2">
                    <c:v>BNB</c:v>
                  </c:pt>
                  <c:pt idx="3">
                    <c:v>Bounce Token</c:v>
                  </c:pt>
                  <c:pt idx="4">
                    <c:v>Ethereum</c:v>
                  </c:pt>
                  <c:pt idx="5">
                    <c:v>Solana</c:v>
                  </c:pt>
                  <c:pt idx="6">
                    <c:v>Tornado Cash</c:v>
                  </c:pt>
                  <c:pt idx="7">
                    <c:v>Zcash</c:v>
                  </c:pt>
                </c:lvl>
              </c:multiLvlStrCache>
            </c:multiLvlStrRef>
          </c:cat>
          <c:val>
            <c:numRef>
              <c:f>Sheet2!$B$4:$B$20</c:f>
              <c:numCache>
                <c:formatCode>General</c:formatCode>
                <c:ptCount val="8"/>
                <c:pt idx="0">
                  <c:v>8.3830845771142748E-2</c:v>
                </c:pt>
                <c:pt idx="1">
                  <c:v>759.13226460070291</c:v>
                </c:pt>
                <c:pt idx="2">
                  <c:v>2.0708140462888878</c:v>
                </c:pt>
                <c:pt idx="3">
                  <c:v>2.1207464324916714E-2</c:v>
                </c:pt>
                <c:pt idx="4">
                  <c:v>19.830993726974157</c:v>
                </c:pt>
                <c:pt idx="5">
                  <c:v>1.6173506648144667</c:v>
                </c:pt>
                <c:pt idx="6">
                  <c:v>2.8228252194733017E-2</c:v>
                </c:pt>
                <c:pt idx="7">
                  <c:v>0.33690476190476204</c:v>
                </c:pt>
              </c:numCache>
            </c:numRef>
          </c:val>
          <c:extLst>
            <c:ext xmlns:c16="http://schemas.microsoft.com/office/drawing/2014/chart" uri="{C3380CC4-5D6E-409C-BE32-E72D297353CC}">
              <c16:uniqueId val="{00000000-D956-4710-AB1C-1BB12C2F282F}"/>
            </c:ext>
          </c:extLst>
        </c:ser>
        <c:dLbls>
          <c:dLblPos val="inEnd"/>
          <c:showLegendKey val="0"/>
          <c:showVal val="1"/>
          <c:showCatName val="0"/>
          <c:showSerName val="0"/>
          <c:showPercent val="0"/>
          <c:showBubbleSize val="0"/>
        </c:dLbls>
        <c:gapWidth val="65"/>
        <c:axId val="1093881103"/>
        <c:axId val="1101930351"/>
      </c:barChart>
      <c:catAx>
        <c:axId val="109388110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101930351"/>
        <c:crosses val="autoZero"/>
        <c:auto val="1"/>
        <c:lblAlgn val="ctr"/>
        <c:lblOffset val="100"/>
        <c:noMultiLvlLbl val="0"/>
      </c:catAx>
      <c:valAx>
        <c:axId val="1101930351"/>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093881103"/>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[Crypto_Analysis_Task.xlsm]Sheet1!Task3</c:name>
    <c:fmtId val="6"/>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Sheet1!$B$3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9CF-4DD8-8147-6DA34271341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9CF-4DD8-8147-6DA34271341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39CF-4DD8-8147-6DA34271341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39CF-4DD8-8147-6DA34271341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39CF-4DD8-8147-6DA3427134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Sheet1!$A$4:$A$9</c:f>
              <c:strCache>
                <c:ptCount val="5"/>
                <c:pt idx="0">
                  <c:v>Yala</c:v>
                </c:pt>
                <c:pt idx="1">
                  <c:v>AB</c:v>
                </c:pt>
                <c:pt idx="2">
                  <c:v>ADAMANT Messenger</c:v>
                </c:pt>
                <c:pt idx="3">
                  <c:v>ABBC Coin</c:v>
                </c:pt>
                <c:pt idx="4">
                  <c:v>Acala Token</c:v>
                </c:pt>
              </c:strCache>
            </c:strRef>
          </c:cat>
          <c:val>
            <c:numRef>
              <c:f>Sheet1!$B$4:$B$9</c:f>
              <c:numCache>
                <c:formatCode>General</c:formatCode>
                <c:ptCount val="5"/>
                <c:pt idx="0">
                  <c:v>2</c:v>
                </c:pt>
                <c:pt idx="1">
                  <c:v>1</c:v>
                </c:pt>
                <c:pt idx="2">
                  <c:v>1</c:v>
                </c:pt>
                <c:pt idx="3">
                  <c:v>1</c:v>
                </c:pt>
                <c:pt idx="4">
                  <c:v>1</c:v>
                </c:pt>
              </c:numCache>
            </c:numRef>
          </c:val>
          <c:extLst>
            <c:ext xmlns:c16="http://schemas.microsoft.com/office/drawing/2014/chart" uri="{C3380CC4-5D6E-409C-BE32-E72D297353CC}">
              <c16:uniqueId val="{0000000A-39CF-4DD8-8147-6DA342713418}"/>
            </c:ext>
          </c:extLst>
        </c:ser>
        <c:dLbls>
          <c:dLblPos val="out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3</xdr:col>
      <xdr:colOff>0</xdr:colOff>
      <xdr:row>0</xdr:row>
      <xdr:rowOff>0</xdr:rowOff>
    </xdr:from>
    <xdr:to>
      <xdr:col>10</xdr:col>
      <xdr:colOff>304800</xdr:colOff>
      <xdr:row>15</xdr:row>
      <xdr:rowOff>0</xdr:rowOff>
    </xdr:to>
    <xdr:graphicFrame macro="">
      <xdr:nvGraphicFramePr>
        <xdr:cNvPr id="2" name="Chart 1">
          <a:extLst>
            <a:ext uri="{FF2B5EF4-FFF2-40B4-BE49-F238E27FC236}">
              <a16:creationId xmlns:a16="http://schemas.microsoft.com/office/drawing/2014/main" id="{8ED562AD-C441-6A06-5EBC-1F5CDF8F44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175260</xdr:colOff>
      <xdr:row>0</xdr:row>
      <xdr:rowOff>0</xdr:rowOff>
    </xdr:from>
    <xdr:to>
      <xdr:col>14</xdr:col>
      <xdr:colOff>175260</xdr:colOff>
      <xdr:row>14</xdr:row>
      <xdr:rowOff>20955</xdr:rowOff>
    </xdr:to>
    <mc:AlternateContent xmlns:mc="http://schemas.openxmlformats.org/markup-compatibility/2006" xmlns:a14="http://schemas.microsoft.com/office/drawing/2010/main">
      <mc:Choice Requires="a14">
        <xdr:graphicFrame macro="">
          <xdr:nvGraphicFramePr>
            <xdr:cNvPr id="3" name="Price Category">
              <a:extLst>
                <a:ext uri="{FF2B5EF4-FFF2-40B4-BE49-F238E27FC236}">
                  <a16:creationId xmlns:a16="http://schemas.microsoft.com/office/drawing/2014/main" id="{AA4A0D27-B7E8-BD48-D7E6-4E64206D2EEC}"/>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mlns="">
        <xdr:sp macro="" textlink="">
          <xdr:nvSpPr>
            <xdr:cNvPr id="0" name=""/>
            <xdr:cNvSpPr>
              <a:spLocks noTextEdit="1"/>
            </xdr:cNvSpPr>
          </xdr:nvSpPr>
          <xdr:spPr>
            <a:xfrm>
              <a:off x="8404860" y="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373380</xdr:colOff>
      <xdr:row>3</xdr:row>
      <xdr:rowOff>160020</xdr:rowOff>
    </xdr:from>
    <xdr:to>
      <xdr:col>12</xdr:col>
      <xdr:colOff>243840</xdr:colOff>
      <xdr:row>18</xdr:row>
      <xdr:rowOff>160020</xdr:rowOff>
    </xdr:to>
    <xdr:graphicFrame macro="">
      <xdr:nvGraphicFramePr>
        <xdr:cNvPr id="2" name="Chart 1">
          <a:extLst>
            <a:ext uri="{FF2B5EF4-FFF2-40B4-BE49-F238E27FC236}">
              <a16:creationId xmlns:a16="http://schemas.microsoft.com/office/drawing/2014/main" id="{EF8105E3-3E43-1D40-AB70-517B1A60D1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144780</xdr:colOff>
      <xdr:row>3</xdr:row>
      <xdr:rowOff>38100</xdr:rowOff>
    </xdr:from>
    <xdr:to>
      <xdr:col>16</xdr:col>
      <xdr:colOff>144780</xdr:colOff>
      <xdr:row>17</xdr:row>
      <xdr:rowOff>59055</xdr:rowOff>
    </xdr:to>
    <mc:AlternateContent xmlns:mc="http://schemas.openxmlformats.org/markup-compatibility/2006" xmlns:a14="http://schemas.microsoft.com/office/drawing/2010/main">
      <mc:Choice Requires="a14">
        <xdr:graphicFrame macro="">
          <xdr:nvGraphicFramePr>
            <xdr:cNvPr id="3" name="Price_Range">
              <a:extLst>
                <a:ext uri="{FF2B5EF4-FFF2-40B4-BE49-F238E27FC236}">
                  <a16:creationId xmlns:a16="http://schemas.microsoft.com/office/drawing/2014/main" id="{8DA6D4E3-2433-6F22-0A64-FCAC14AAC321}"/>
                </a:ext>
              </a:extLst>
            </xdr:cNvPr>
            <xdr:cNvGraphicFramePr/>
          </xdr:nvGraphicFramePr>
          <xdr:xfrm>
            <a:off x="0" y="0"/>
            <a:ext cx="0" cy="0"/>
          </xdr:xfrm>
          <a:graphic>
            <a:graphicData uri="http://schemas.microsoft.com/office/drawing/2010/slicer">
              <sle:slicer xmlns:sle="http://schemas.microsoft.com/office/drawing/2010/slicer" name="Price_Range"/>
            </a:graphicData>
          </a:graphic>
        </xdr:graphicFrame>
      </mc:Choice>
      <mc:Fallback xmlns="">
        <xdr:sp macro="" textlink="">
          <xdr:nvSpPr>
            <xdr:cNvPr id="0" name=""/>
            <xdr:cNvSpPr>
              <a:spLocks noTextEdit="1"/>
            </xdr:cNvSpPr>
          </xdr:nvSpPr>
          <xdr:spPr>
            <a:xfrm>
              <a:off x="9022080" y="58674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281940</xdr:colOff>
      <xdr:row>4</xdr:row>
      <xdr:rowOff>72390</xdr:rowOff>
    </xdr:from>
    <xdr:to>
      <xdr:col>11</xdr:col>
      <xdr:colOff>586740</xdr:colOff>
      <xdr:row>19</xdr:row>
      <xdr:rowOff>72390</xdr:rowOff>
    </xdr:to>
    <xdr:graphicFrame macro="">
      <xdr:nvGraphicFramePr>
        <xdr:cNvPr id="2" name="Chart 1">
          <a:extLst>
            <a:ext uri="{FF2B5EF4-FFF2-40B4-BE49-F238E27FC236}">
              <a16:creationId xmlns:a16="http://schemas.microsoft.com/office/drawing/2014/main" id="{FABF3AE2-B823-65A8-A3ED-6032A26DC8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403860</xdr:colOff>
      <xdr:row>4</xdr:row>
      <xdr:rowOff>160020</xdr:rowOff>
    </xdr:from>
    <xdr:to>
      <xdr:col>15</xdr:col>
      <xdr:colOff>403860</xdr:colOff>
      <xdr:row>18</xdr:row>
      <xdr:rowOff>180975</xdr:rowOff>
    </xdr:to>
    <mc:AlternateContent xmlns:mc="http://schemas.openxmlformats.org/markup-compatibility/2006" xmlns:a14="http://schemas.microsoft.com/office/drawing/2010/main">
      <mc:Choice Requires="a14">
        <xdr:graphicFrame macro="">
          <xdr:nvGraphicFramePr>
            <xdr:cNvPr id="3" name="Price_0_5">
              <a:extLst>
                <a:ext uri="{FF2B5EF4-FFF2-40B4-BE49-F238E27FC236}">
                  <a16:creationId xmlns:a16="http://schemas.microsoft.com/office/drawing/2014/main" id="{DC47BE8E-281A-DF24-6F55-7DFC2E4367BF}"/>
                </a:ext>
              </a:extLst>
            </xdr:cNvPr>
            <xdr:cNvGraphicFramePr/>
          </xdr:nvGraphicFramePr>
          <xdr:xfrm>
            <a:off x="0" y="0"/>
            <a:ext cx="0" cy="0"/>
          </xdr:xfrm>
          <a:graphic>
            <a:graphicData uri="http://schemas.microsoft.com/office/drawing/2010/slicer">
              <sle:slicer xmlns:sle="http://schemas.microsoft.com/office/drawing/2010/slicer" name="Price_0_5"/>
            </a:graphicData>
          </a:graphic>
        </xdr:graphicFrame>
      </mc:Choice>
      <mc:Fallback xmlns="">
        <xdr:sp macro="" textlink="">
          <xdr:nvSpPr>
            <xdr:cNvPr id="0" name=""/>
            <xdr:cNvSpPr>
              <a:spLocks noTextEdit="1"/>
            </xdr:cNvSpPr>
          </xdr:nvSpPr>
          <xdr:spPr>
            <a:xfrm>
              <a:off x="10027920" y="89154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oneCellAnchor>
    <xdr:from>
      <xdr:col>4</xdr:col>
      <xdr:colOff>167640</xdr:colOff>
      <xdr:row>3</xdr:row>
      <xdr:rowOff>99060</xdr:rowOff>
    </xdr:from>
    <xdr:ext cx="3223260" cy="264560"/>
    <xdr:sp macro="" textlink="">
      <xdr:nvSpPr>
        <xdr:cNvPr id="3" name="TextBox 2">
          <a:extLst>
            <a:ext uri="{FF2B5EF4-FFF2-40B4-BE49-F238E27FC236}">
              <a16:creationId xmlns:a16="http://schemas.microsoft.com/office/drawing/2014/main" id="{BE61C98A-FDB0-D688-0D68-FDC6965137DC}"/>
            </a:ext>
          </a:extLst>
        </xdr:cNvPr>
        <xdr:cNvSpPr txBox="1"/>
      </xdr:nvSpPr>
      <xdr:spPr>
        <a:xfrm>
          <a:off x="2606040" y="647700"/>
          <a:ext cx="322326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IN" sz="1100"/>
        </a:p>
      </xdr:txBody>
    </xdr:sp>
    <xdr:clientData/>
  </xdr:oneCellAnchor>
  <xdr:oneCellAnchor>
    <xdr:from>
      <xdr:col>3</xdr:col>
      <xdr:colOff>38100</xdr:colOff>
      <xdr:row>19</xdr:row>
      <xdr:rowOff>137161</xdr:rowOff>
    </xdr:from>
    <xdr:ext cx="4274820" cy="1318260"/>
    <xdr:sp macro="" textlink="">
      <xdr:nvSpPr>
        <xdr:cNvPr id="5" name="WorkingMessage" hidden="1">
          <a:extLst>
            <a:ext uri="{FF2B5EF4-FFF2-40B4-BE49-F238E27FC236}">
              <a16:creationId xmlns:a16="http://schemas.microsoft.com/office/drawing/2014/main" id="{499CC7EC-A9E7-D096-51DF-19178F5E7536}"/>
            </a:ext>
          </a:extLst>
        </xdr:cNvPr>
        <xdr:cNvSpPr txBox="1"/>
      </xdr:nvSpPr>
      <xdr:spPr>
        <a:xfrm>
          <a:off x="1866900" y="3611881"/>
          <a:ext cx="4274820" cy="1318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2000">
              <a:solidFill>
                <a:srgbClr val="FF0000"/>
              </a:solidFill>
            </a:rPr>
            <a:t>Please open in working hours</a:t>
          </a:r>
        </a:p>
        <a:p>
          <a:pPr algn="ctr"/>
          <a:r>
            <a:rPr lang="en-IN" sz="2000">
              <a:solidFill>
                <a:srgbClr val="FF0000"/>
              </a:solidFill>
            </a:rPr>
            <a:t>(9 AM to 5 PM)</a:t>
          </a:r>
        </a:p>
        <a:p>
          <a:endParaRPr lang="en-IN" sz="2000"/>
        </a:p>
        <a:p>
          <a:r>
            <a:rPr lang="en-IN" sz="2000"/>
            <a:t>+--------------------------------------+</a:t>
          </a:r>
        </a:p>
      </xdr:txBody>
    </xdr:sp>
    <xdr:clientData/>
  </xdr:oneCellAnchor>
  <xdr:twoCellAnchor>
    <xdr:from>
      <xdr:col>5</xdr:col>
      <xdr:colOff>434340</xdr:colOff>
      <xdr:row>3</xdr:row>
      <xdr:rowOff>76200</xdr:rowOff>
    </xdr:from>
    <xdr:to>
      <xdr:col>15</xdr:col>
      <xdr:colOff>198120</xdr:colOff>
      <xdr:row>18</xdr:row>
      <xdr:rowOff>76200</xdr:rowOff>
    </xdr:to>
    <xdr:graphicFrame macro="">
      <xdr:nvGraphicFramePr>
        <xdr:cNvPr id="2" name="CryptoChart">
          <a:extLst>
            <a:ext uri="{FF2B5EF4-FFF2-40B4-BE49-F238E27FC236}">
              <a16:creationId xmlns:a16="http://schemas.microsoft.com/office/drawing/2014/main" id="{909B3817-AFBF-4D6B-B5D5-23F8BC0EE6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15240</xdr:colOff>
      <xdr:row>4</xdr:row>
      <xdr:rowOff>121920</xdr:rowOff>
    </xdr:from>
    <xdr:to>
      <xdr:col>10</xdr:col>
      <xdr:colOff>388620</xdr:colOff>
      <xdr:row>19</xdr:row>
      <xdr:rowOff>121920</xdr:rowOff>
    </xdr:to>
    <xdr:graphicFrame macro="">
      <xdr:nvGraphicFramePr>
        <xdr:cNvPr id="2" name="CryptoChart">
          <a:extLst>
            <a:ext uri="{FF2B5EF4-FFF2-40B4-BE49-F238E27FC236}">
              <a16:creationId xmlns:a16="http://schemas.microsoft.com/office/drawing/2014/main" id="{8ABA10A5-7A11-440A-B8E0-DD965017A7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4</xdr:row>
      <xdr:rowOff>175260</xdr:rowOff>
    </xdr:from>
    <xdr:to>
      <xdr:col>19</xdr:col>
      <xdr:colOff>190500</xdr:colOff>
      <xdr:row>19</xdr:row>
      <xdr:rowOff>175260</xdr:rowOff>
    </xdr:to>
    <xdr:graphicFrame macro="">
      <xdr:nvGraphicFramePr>
        <xdr:cNvPr id="3" name="Chart 2">
          <a:extLst>
            <a:ext uri="{FF2B5EF4-FFF2-40B4-BE49-F238E27FC236}">
              <a16:creationId xmlns:a16="http://schemas.microsoft.com/office/drawing/2014/main" id="{93AAD0B8-E762-4A48-BDE4-DC00312FD8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137160</xdr:colOff>
      <xdr:row>21</xdr:row>
      <xdr:rowOff>114300</xdr:rowOff>
    </xdr:from>
    <xdr:to>
      <xdr:col>22</xdr:col>
      <xdr:colOff>7620</xdr:colOff>
      <xdr:row>36</xdr:row>
      <xdr:rowOff>114300</xdr:rowOff>
    </xdr:to>
    <xdr:graphicFrame macro="">
      <xdr:nvGraphicFramePr>
        <xdr:cNvPr id="4" name="Chart 3">
          <a:extLst>
            <a:ext uri="{FF2B5EF4-FFF2-40B4-BE49-F238E27FC236}">
              <a16:creationId xmlns:a16="http://schemas.microsoft.com/office/drawing/2014/main" id="{8E460B28-A960-457B-927D-FB746F4EF8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304800</xdr:colOff>
      <xdr:row>21</xdr:row>
      <xdr:rowOff>83820</xdr:rowOff>
    </xdr:from>
    <xdr:to>
      <xdr:col>11</xdr:col>
      <xdr:colOff>0</xdr:colOff>
      <xdr:row>36</xdr:row>
      <xdr:rowOff>83820</xdr:rowOff>
    </xdr:to>
    <xdr:graphicFrame macro="">
      <xdr:nvGraphicFramePr>
        <xdr:cNvPr id="5" name="Chart 4">
          <a:extLst>
            <a:ext uri="{FF2B5EF4-FFF2-40B4-BE49-F238E27FC236}">
              <a16:creationId xmlns:a16="http://schemas.microsoft.com/office/drawing/2014/main" id="{F94B62B0-BA8F-43E1-939A-5D5AD757A6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45720</xdr:colOff>
      <xdr:row>22</xdr:row>
      <xdr:rowOff>30480</xdr:rowOff>
    </xdr:from>
    <xdr:to>
      <xdr:col>2</xdr:col>
      <xdr:colOff>213360</xdr:colOff>
      <xdr:row>36</xdr:row>
      <xdr:rowOff>51435</xdr:rowOff>
    </xdr:to>
    <mc:AlternateContent xmlns:mc="http://schemas.openxmlformats.org/markup-compatibility/2006">
      <mc:Choice xmlns:a14="http://schemas.microsoft.com/office/drawing/2010/main" Requires="a14">
        <xdr:graphicFrame macro="">
          <xdr:nvGraphicFramePr>
            <xdr:cNvPr id="6" name="Price_Range 1">
              <a:extLst>
                <a:ext uri="{FF2B5EF4-FFF2-40B4-BE49-F238E27FC236}">
                  <a16:creationId xmlns:a16="http://schemas.microsoft.com/office/drawing/2014/main" id="{EBC49462-5B3B-48E5-84C2-7509E2383FFE}"/>
                </a:ext>
              </a:extLst>
            </xdr:cNvPr>
            <xdr:cNvGraphicFramePr/>
          </xdr:nvGraphicFramePr>
          <xdr:xfrm>
            <a:off x="0" y="0"/>
            <a:ext cx="0" cy="0"/>
          </xdr:xfrm>
          <a:graphic>
            <a:graphicData uri="http://schemas.microsoft.com/office/drawing/2010/slicer">
              <sle:slicer xmlns:sle="http://schemas.microsoft.com/office/drawing/2010/slicer" name="Price_Range 1"/>
            </a:graphicData>
          </a:graphic>
        </xdr:graphicFrame>
      </mc:Choice>
      <mc:Fallback>
        <xdr:sp macro="" textlink="">
          <xdr:nvSpPr>
            <xdr:cNvPr id="0" name=""/>
            <xdr:cNvSpPr>
              <a:spLocks noTextEdit="1"/>
            </xdr:cNvSpPr>
          </xdr:nvSpPr>
          <xdr:spPr>
            <a:xfrm>
              <a:off x="45720" y="4168140"/>
              <a:ext cx="138684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ravan Nemane" refreshedDate="46221.9586724537" backgroundQuery="1" createdVersion="8" refreshedVersion="8" minRefreshableVersion="3" recordCount="0" supportSubquery="1" supportAdvancedDrill="1" xr:uid="{999E7EFF-1A54-4686-ADF0-A367674FC894}">
  <cacheSource type="external" connectionId="2"/>
  <cacheFields count="3">
    <cacheField name="[Crypto_Data__2].[Coin Name].[Coin Name]" caption="Coin Name" numFmtId="0" level="1">
      <sharedItems count="5">
        <s v="AB"/>
        <s v="ABBC Coin"/>
        <s v="Acala Token"/>
        <s v="ADAMANT Messenger"/>
        <s v="Yala"/>
      </sharedItems>
    </cacheField>
    <cacheField name="[Measures].[Count of Volume_Numeric]" caption="Count of Volume_Numeric" numFmtId="0" hierarchy="22" level="32767"/>
    <cacheField name="[Crypto_Data__2].[Price Category].[Price Category]" caption="Price Category" numFmtId="0" hierarchy="4" level="1">
      <sharedItems containsSemiMixedTypes="0" containsNonDate="0" containsString="0"/>
    </cacheField>
  </cacheFields>
  <cacheHierarchies count="23">
    <cacheHierarchy uniqueName="[Crypto_Data__2].[Coin Name]" caption="Coin Name" attribute="1" defaultMemberUniqueName="[Crypto_Data__2].[Coin Name].[All]" allUniqueName="[Crypto_Data__2].[Coin Name].[All]" dimensionUniqueName="[Crypto_Data__2]" displayFolder="" count="2" memberValueDatatype="130" unbalanced="0">
      <fieldsUsage count="2">
        <fieldUsage x="-1"/>
        <fieldUsage x="0"/>
      </fieldsUsage>
    </cacheHierarchy>
    <cacheHierarchy uniqueName="[Crypto_Data__2].[Allowed_Coin]" caption="Allowed_Coin" attribute="1" defaultMemberUniqueName="[Crypto_Data__2].[Allowed_Coin].[All]" allUniqueName="[Crypto_Data__2].[Allowed_Coin].[All]" dimensionUniqueName="[Crypto_Data__2]" displayFolder="" count="0" memberValueDatatype="130" unbalanced="0"/>
    <cacheHierarchy uniqueName="[Crypto_Data__2].[Symbol]" caption="Symbol" attribute="1" defaultMemberUniqueName="[Crypto_Data__2].[Symbol].[All]" allUniqueName="[Crypto_Data__2].[Symbol].[All]" dimensionUniqueName="[Crypto_Data__2]" displayFolder="" count="0" memberValueDatatype="130" unbalanced="0"/>
    <cacheHierarchy uniqueName="[Crypto_Data__2].[Price (USD)]" caption="Price (USD)" attribute="1" defaultMemberUniqueName="[Crypto_Data__2].[Price (USD)].[All]" allUniqueName="[Crypto_Data__2].[Price (USD)].[All]" dimensionUniqueName="[Crypto_Data__2]" displayFolder="" count="0" memberValueDatatype="130" unbalanced="0"/>
    <cacheHierarchy uniqueName="[Crypto_Data__2].[Price Category]" caption="Price Category" attribute="1" defaultMemberUniqueName="[Crypto_Data__2].[Price Category].[All]" allUniqueName="[Crypto_Data__2].[Price Category].[All]" dimensionUniqueName="[Crypto_Data__2]" displayFolder="" count="2" memberValueDatatype="130" unbalanced="0">
      <fieldsUsage count="2">
        <fieldUsage x="-1"/>
        <fieldUsage x="2"/>
      </fieldsUsage>
    </cacheHierarchy>
    <cacheHierarchy uniqueName="[Crypto_Data__2].[1h Change (%)]" caption="1h Change (%)" attribute="1" defaultMemberUniqueName="[Crypto_Data__2].[1h Change (%)].[All]" allUniqueName="[Crypto_Data__2].[1h Change (%)].[All]" dimensionUniqueName="[Crypto_Data__2]" displayFolder="" count="0" memberValueDatatype="5" unbalanced="0"/>
    <cacheHierarchy uniqueName="[Crypto_Data__2].[Market Cap]" caption="Market Cap" attribute="1" defaultMemberUniqueName="[Crypto_Data__2].[Market Cap].[All]" allUniqueName="[Crypto_Data__2].[Market Cap].[All]" dimensionUniqueName="[Crypto_Data__2]" displayFolder="" count="0" memberValueDatatype="130" unbalanced="0"/>
    <cacheHierarchy uniqueName="[Crypto_Data__2].[MarketCap_Numeric]" caption="MarketCap_Numeric" attribute="1" defaultMemberUniqueName="[Crypto_Data__2].[MarketCap_Numeric].[All]" allUniqueName="[Crypto_Data__2].[MarketCap_Numeric].[All]" dimensionUniqueName="[Crypto_Data__2]" displayFolder="" count="0" memberValueDatatype="5" unbalanced="0"/>
    <cacheHierarchy uniqueName="[Crypto_Data__2].[Volume (24h) USD]" caption="Volume (24h) USD" attribute="1" defaultMemberUniqueName="[Crypto_Data__2].[Volume (24h) USD].[All]" allUniqueName="[Crypto_Data__2].[Volume (24h) USD].[All]" dimensionUniqueName="[Crypto_Data__2]" displayFolder="" count="0" memberValueDatatype="130" unbalanced="0"/>
    <cacheHierarchy uniqueName="[Crypto_Data__2].[Volume_Numeric]" caption="Volume_Numeric" attribute="1" defaultMemberUniqueName="[Crypto_Data__2].[Volume_Numeric].[All]" allUniqueName="[Crypto_Data__2].[Volume_Numeric].[All]" dimensionUniqueName="[Crypto_Data__2]" displayFolder="" count="0" memberValueDatatype="130" unbalanced="0"/>
    <cacheHierarchy uniqueName="[Crypto_Data__2].[Circulating Supply]" caption="Circulating Supply" attribute="1" defaultMemberUniqueName="[Crypto_Data__2].[Circulating Supply].[All]" allUniqueName="[Crypto_Data__2].[Circulating Supply].[All]" dimensionUniqueName="[Crypto_Data__2]" displayFolder="" count="0" memberValueDatatype="130" unbalanced="0"/>
    <cacheHierarchy uniqueName="[Crypto_Data__2].[CurrentPrice_Num]" caption="CurrentPrice_Num" attribute="1" defaultMemberUniqueName="[Crypto_Data__2].[CurrentPrice_Num].[All]" allUniqueName="[Crypto_Data__2].[CurrentPrice_Num].[All]" dimensionUniqueName="[Crypto_Data__2]" displayFolder="" count="0" memberValueDatatype="5" unbalanced="0"/>
    <cacheHierarchy uniqueName="[Crypto_Data__2].[PreviousPrice]" caption="PreviousPrice" attribute="1" defaultMemberUniqueName="[Crypto_Data__2].[PreviousPrice].[All]" allUniqueName="[Crypto_Data__2].[PreviousPrice].[All]" dimensionUniqueName="[Crypto_Data__2]" displayFolder="" count="0" memberValueDatatype="5" unbalanced="0"/>
    <cacheHierarchy uniqueName="[Crypto_Data__2].[PriceChange]" caption="PriceChange" attribute="1" defaultMemberUniqueName="[Crypto_Data__2].[PriceChange].[All]" allUniqueName="[Crypto_Data__2].[PriceChange].[All]" dimensionUniqueName="[Crypto_Data__2]" displayFolder="" count="0" memberValueDatatype="5" unbalanced="0"/>
    <cacheHierarchy uniqueName="[Crypto_Data__2].[Price_Range]" caption="Price_Range" attribute="1" defaultMemberUniqueName="[Crypto_Data__2].[Price_Range].[All]" allUniqueName="[Crypto_Data__2].[Price_Range].[All]" dimensionUniqueName="[Crypto_Data__2]" displayFolder="" count="0" memberValueDatatype="130" unbalanced="0"/>
    <cacheHierarchy uniqueName="[Crypto_Data__2].[Price_24h]" caption="Price_24h" attribute="1" defaultMemberUniqueName="[Crypto_Data__2].[Price_24h].[All]" allUniqueName="[Crypto_Data__2].[Price_24h].[All]" dimensionUniqueName="[Crypto_Data__2]" displayFolder="" count="0" memberValueDatatype="5" unbalanced="0"/>
    <cacheHierarchy uniqueName="[Crypto_Data__2].[Price_7d]" caption="Price_7d" attribute="1" defaultMemberUniqueName="[Crypto_Data__2].[Price_7d].[All]" allUniqueName="[Crypto_Data__2].[Price_7d].[All]" dimensionUniqueName="[Crypto_Data__2]" displayFolder="" count="0" memberValueDatatype="5" unbalanced="0"/>
    <cacheHierarchy uniqueName="[Crypto_Data__2].[Price_0_5]" caption="Price_0_5" attribute="1" defaultMemberUniqueName="[Crypto_Data__2].[Price_0_5].[All]" allUniqueName="[Crypto_Data__2].[Price_0_5].[All]" dimensionUniqueName="[Crypto_Data__2]" displayFolder="" count="0" memberValueDatatype="130" unbalanced="0"/>
    <cacheHierarchy uniqueName="[Crypto_Data__2].[Investment Range]" caption="Investment Range" attribute="1" defaultMemberUniqueName="[Crypto_Data__2].[Investment Range].[All]" allUniqueName="[Crypto_Data__2].[Investment Range].[All]" dimensionUniqueName="[Crypto_Data__2]" displayFolder="" count="0" memberValueDatatype="130" unbalanced="0"/>
    <cacheHierarchy uniqueName="[Crypto_Data__2].[Average Downfall %]" caption="Average Downfall %" attribute="1" defaultMemberUniqueName="[Crypto_Data__2].[Average Downfall %].[All]" allUniqueName="[Crypto_Data__2].[Average Downfall %].[All]" dimensionUniqueName="[Crypto_Data__2]" displayFolder="" count="0" memberValueDatatype="5" unbalanced="0"/>
    <cacheHierarchy uniqueName="[Measures].[__XL_Count Crypto_Data__2]" caption="__XL_Count Crypto_Data__2" measure="1" displayFolder="" measureGroup="Crypto_Data__2" count="0" hidden="1"/>
    <cacheHierarchy uniqueName="[Measures].[__No measures defined]" caption="__No measures defined" measure="1" displayFolder="" count="0" hidden="1"/>
    <cacheHierarchy uniqueName="[Measures].[Count of Volume_Numeric]" caption="Count of Volume_Numeric" measure="1" displayFolder="" measureGroup="Crypto_Data__2" count="0" oneField="1" hidden="1">
      <fieldsUsage count="1">
        <fieldUsage x="1"/>
      </fieldsUsage>
      <extLst>
        <ext xmlns:x15="http://schemas.microsoft.com/office/spreadsheetml/2010/11/main" uri="{B97F6D7D-B522-45F9-BDA1-12C45D357490}">
          <x15:cacheHierarchy aggregatedColumn="9"/>
        </ext>
      </extLst>
    </cacheHierarchy>
  </cacheHierarchies>
  <kpis count="0"/>
  <dimensions count="2">
    <dimension name="Crypto_Data__2" uniqueName="[Crypto_Data__2]" caption="Crypto_Data__2"/>
    <dimension measure="1" name="Measures" uniqueName="[Measures]" caption="Measures"/>
  </dimensions>
  <measureGroups count="1">
    <measureGroup name="Crypto_Data__2" caption="Crypto_Data__2"/>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avan Nemane" refreshedDate="46221.958673148147" createdVersion="8" refreshedVersion="8" minRefreshableVersion="3" recordCount="200" xr:uid="{DC387518-3FD7-4325-A157-A9ADA36586EF}">
  <cacheSource type="worksheet">
    <worksheetSource name="Crypto_Data__2"/>
  </cacheSource>
  <cacheFields count="20">
    <cacheField name="Coin Name" numFmtId="0">
      <sharedItems count="199">
        <s v="Bitcoin"/>
        <s v="Ethereum"/>
        <s v="XRP"/>
        <s v="Tether"/>
        <s v="BNB"/>
        <s v="Solana"/>
        <s v="USDC"/>
        <s v="Dogecoin"/>
        <s v="TRON"/>
        <s v="Cardano"/>
        <s v="Ripple USD"/>
        <s v="Zcash"/>
        <s v="AB"/>
        <s v="Pyth Network"/>
        <s v="BitTorrent [New]"/>
        <s v="Flow"/>
        <s v="DeXe"/>
        <s v="BUILDon"/>
        <s v="Walrus"/>
        <s v="Decentraland"/>
        <s v="Fasttoken"/>
        <s v="Jupiter Perps LP"/>
        <s v="Falcon USD"/>
        <s v="Loaded Lions"/>
        <s v="Ondo US Dollar Yield"/>
        <s v="Usual USD"/>
        <s v="Vision"/>
        <s v="Beldex"/>
        <s v="Global Dollar"/>
        <s v="Zeebu"/>
        <s v="WOO"/>
        <s v="Elixir deUSD"/>
        <s v="Yala"/>
        <s v="Polymesh"/>
        <s v="Aleo"/>
        <s v="AUSD"/>
        <s v="Babylon"/>
        <s v="Status"/>
        <s v="Enjin Coin"/>
        <s v="Vana"/>
        <s v="Definitive"/>
        <s v="Apertum"/>
        <s v="Tokenlon Network Token"/>
        <s v="BIM"/>
        <s v="Ardor"/>
        <s v="Audius"/>
        <s v="Ark"/>
        <s v="Goatseus Maximus"/>
        <s v="Comedian"/>
        <s v="Wrapped ONUS"/>
        <s v="Sophon"/>
        <s v="Metal DAO"/>
        <s v="Celer Network"/>
        <s v="ArchLoot"/>
        <s v="B3 (Base)"/>
        <s v="Tornado Cash"/>
        <s v="Polyhedra Network"/>
        <s v="Bounce Token"/>
        <s v="Radix"/>
        <s v="Gains Network"/>
        <s v="Quantum Resistant Ledger"/>
        <s v="Symbol"/>
        <s v="deBridge"/>
        <s v="Origin Protocol"/>
        <s v="Autonolas"/>
        <s v="Renzo"/>
        <s v="PepeCoin"/>
        <s v="Solend"/>
        <s v="Vulcan Forged (PYR)"/>
        <s v="MetYa"/>
        <s v="MetFi"/>
        <s v="Metadium"/>
        <s v="Acala Token"/>
        <s v="XION"/>
        <s v="Roam"/>
        <s v="Fuel Network"/>
        <s v="Ampleforth"/>
        <s v="ARPA"/>
        <s v="Fair and Free"/>
        <s v="XPLA"/>
        <s v="PlatON"/>
        <s v="dYdX (ethDYDX)"/>
        <s v="Build On BNB"/>
        <s v="CLV"/>
        <s v="Kekius Maximus (kekiusmaximus.vip)"/>
        <s v="Alkimi"/>
        <s v="CreatorBid"/>
        <s v="Moby"/>
        <s v="Agoras: Tau Net"/>
        <s v="ZUSD"/>
        <s v="Cross The Ages"/>
        <s v="Amaterasu Omikami"/>
        <s v="OLAXBT"/>
        <s v="Games for a Living"/>
        <s v="Magpie"/>
        <s v="Everscale"/>
        <s v="Bulla"/>
        <s v="SIX Token"/>
        <s v="AIHub"/>
        <s v="NodeOps"/>
        <s v="GYEN"/>
        <s v="Rezor"/>
        <s v="Jerry The Turtle By Matt Furie"/>
        <s v="pSTAKE Finance"/>
        <s v="Suku"/>
        <s v="Vita Inu"/>
        <s v="Hosico"/>
        <s v="Alvara Protocol"/>
        <s v="Free Palestine"/>
        <s v="Infinitar"/>
        <s v="Biswap"/>
        <s v="PublicAI"/>
        <s v="BasedAI"/>
        <s v="Bellscoin"/>
        <s v="SIGMA"/>
        <s v="STUFF.io"/>
        <s v="Tectonic"/>
        <s v="Prosper"/>
        <s v="AKEDO"/>
        <s v="StablR USD"/>
        <s v="Counterparty"/>
        <s v="Steem Dollars"/>
        <s v="Startup"/>
        <s v="LinqAI"/>
        <s v="Baanx"/>
        <s v="TrustSwap"/>
        <s v="Tanssi"/>
        <s v="Stride"/>
        <s v="Peercoin"/>
        <s v="WHALE"/>
        <s v="Venus DAI"/>
        <s v="Fluence"/>
        <s v="Partisia Blockchain"/>
        <s v="Hoge Finance"/>
        <s v="Pain (paintoken.com)"/>
        <s v="Sentinel"/>
        <s v="Cere Network"/>
        <s v="OVR"/>
        <s v="fanC"/>
        <s v="Velvet"/>
        <s v="Wibegram"/>
        <s v="ABBC Coin"/>
        <s v="Lion Cat"/>
        <s v="Zero1 Labs"/>
        <s v="STAT"/>
        <s v="Stonks"/>
        <s v="Epic Cash"/>
        <s v="ORBIT"/>
        <s v="Upland (SPARKLET)"/>
        <s v="Troll (troll.run)"/>
        <s v="DeFi Kingdoms"/>
        <s v="BitForex Token"/>
        <s v="XPIN Network"/>
        <s v="Beam"/>
        <s v="Project WITH"/>
        <s v="ICHI"/>
        <s v="Mysterium"/>
        <s v="PRIZM"/>
        <s v="Frodo the virtual samurai"/>
        <s v="CatSlap"/>
        <s v="MSTR2100"/>
        <s v="LABEL AI"/>
        <s v="RCADE"/>
        <s v="CrossFi"/>
        <s v="Boom"/>
        <s v="Izumi Finance"/>
        <s v="Push Protocol"/>
        <s v="Patriot"/>
        <s v="Panda Swap"/>
        <s v="GAM3S.GG"/>
        <s v="Harold"/>
        <s v="Tiger Shark"/>
        <s v="Decentrawood"/>
        <s v="Lumera Health"/>
        <s v="Celsius"/>
        <s v="aixCB by Virtuals"/>
        <s v="Solchat"/>
        <s v="Baby Grok (babygrok.ai)"/>
        <s v="Alpaca Finance"/>
        <s v="Nitro"/>
        <s v="MarsDAO"/>
        <s v="Cypherium"/>
        <s v="The Nation Token"/>
        <s v="Orbit Chain"/>
        <s v="Messiah"/>
        <s v="Xaya"/>
        <s v="Shiba Predator"/>
        <s v="Expand"/>
        <s v="TypeAI"/>
        <s v="Plearn"/>
        <s v="HODL Coin"/>
        <s v="Neutrino Index"/>
        <s v="ADAMANT Messenger"/>
        <s v="Q Protocol"/>
        <s v="Carnomaly"/>
        <s v="Tune.FM"/>
        <s v="Etherisc DIP Token"/>
        <s v="IVPAY"/>
        <s v="Gemach"/>
      </sharedItems>
    </cacheField>
    <cacheField name="Allowed_Coin" numFmtId="0">
      <sharedItems count="2">
        <s v="YES"/>
        <s v="NO"/>
      </sharedItems>
    </cacheField>
    <cacheField name="Symbol" numFmtId="0">
      <sharedItems count="200">
        <s v="BTC"/>
        <s v="ETH"/>
        <s v="XRP"/>
        <s v="USDT"/>
        <s v="BNB"/>
        <s v="SOL"/>
        <s v="USDC"/>
        <s v="DOGE"/>
        <s v="TRX"/>
        <s v="ADA"/>
        <s v="RLUSD"/>
        <s v="ZEC"/>
        <s v="AB"/>
        <s v="PYTH"/>
        <s v="BTT"/>
        <s v="FLOW"/>
        <s v="DEXE"/>
        <s v="B"/>
        <s v="WAL"/>
        <s v="MANA"/>
        <s v="FTN"/>
        <s v="JLP"/>
        <s v="USDf"/>
        <s v="LION"/>
        <s v="USDY"/>
        <s v="USD0"/>
        <s v="VSN"/>
        <s v="BDX"/>
        <s v="USDG"/>
        <s v="ZBU"/>
        <s v="WOO"/>
        <s v="DEUSD"/>
        <s v="YU"/>
        <s v="POLYX"/>
        <s v="ALEO"/>
        <s v="AUSD"/>
        <s v="BABY"/>
        <s v="SNT"/>
        <s v="ENJ"/>
        <s v="VANA"/>
        <s v="EDGE"/>
        <s v="APTM"/>
        <s v="LON"/>
        <s v="BIM"/>
        <s v="ARDR"/>
        <s v="AUDIO"/>
        <s v="ARK"/>
        <s v="GOAT"/>
        <s v="BAN"/>
        <s v="WONUS"/>
        <s v="SOPH"/>
        <s v="MTL"/>
        <s v="CELR"/>
        <s v="AL"/>
        <s v="B3"/>
        <s v="TORN"/>
        <s v="ZKJ"/>
        <s v="AUCTION"/>
        <s v="XRD"/>
        <s v="GNS"/>
        <s v="QRL"/>
        <s v="XYM"/>
        <s v="DBR"/>
        <s v="OGN"/>
        <s v="OLAS"/>
        <s v="REZ"/>
        <s v="PEPECOIN"/>
        <s v="SLND"/>
        <s v="PYR"/>
        <s v="MET"/>
        <s v="METFI"/>
        <s v="YALA"/>
        <s v="META"/>
        <s v="ACA"/>
        <s v="XION"/>
        <s v="ROAM"/>
        <s v="FUEL"/>
        <s v="AMPL"/>
        <s v="ARPA"/>
        <s v="FAIR3"/>
        <s v="XPLA"/>
        <s v="LAT"/>
        <s v="ETHDYDX"/>
        <s v="BOB"/>
        <s v="CLV"/>
        <s v="KEKIUS"/>
        <s v="ADS"/>
        <s v="BID"/>
        <s v="MOBY"/>
        <s v="AGRS"/>
        <s v="ZUSD"/>
        <s v="CTA"/>
        <s v="OMIKAMI"/>
        <s v="AIO"/>
        <s v="GFAL"/>
        <s v="MGP"/>
        <s v="EVER"/>
        <s v="BULLA"/>
        <s v="SIX"/>
        <s v="AIH"/>
        <s v="NODE"/>
        <s v="GYEN"/>
        <s v="RZR"/>
        <s v="JYAI"/>
        <s v="PSTAKE"/>
        <s v="SUKU"/>
        <s v="VINU"/>
        <s v="HOSICO"/>
        <s v="ALVA"/>
        <s v="YAFA"/>
        <s v="IGT"/>
        <s v="BSW"/>
        <s v="PUBLIC"/>
        <s v="BASEDAI"/>
        <s v="BELLS"/>
        <s v="SIGMA"/>
        <s v="STUFF"/>
        <s v="TONIC"/>
        <s v="PROS"/>
        <s v="AKE"/>
        <s v="USDR"/>
        <s v="XCP"/>
        <s v="SBD"/>
        <s v="STARTUP"/>
        <s v="LNQ"/>
        <s v="BXX"/>
        <s v="SWAP"/>
        <s v="TANSSI"/>
        <s v="STRD"/>
        <s v="PPC"/>
        <s v="WHALE"/>
        <s v="vDAI"/>
        <s v="FLT"/>
        <s v="MPC"/>
        <s v="HOGE"/>
        <s v="PAIN"/>
        <s v="P2P"/>
        <s v="CERE"/>
        <s v="OVR"/>
        <s v="FANC"/>
        <s v="VELVET"/>
        <s v="WIBE"/>
        <s v="ABBC"/>
        <s v="LCAT"/>
        <s v="DEAI"/>
        <s v="STAT"/>
        <s v="STNK"/>
        <s v="EPIC"/>
        <s v="GRIFT"/>
        <s v="SPARKLET"/>
        <s v="TROLL"/>
        <s v="JEWEL"/>
        <s v="BF"/>
        <s v="XPIN"/>
        <s v="BEAM"/>
        <s v="WIKEN"/>
        <s v="ICHI"/>
        <s v="MYST"/>
        <s v="PZM"/>
        <s v="FROG"/>
        <s v="SLAP"/>
        <s v="MSTR"/>
        <s v="LBL"/>
        <s v="RCADE"/>
        <s v="XFI"/>
        <s v="BOOM"/>
        <s v="IZI"/>
        <s v="PUSH"/>
        <s v="PATRIOT"/>
        <s v="PANDA"/>
        <s v="G3"/>
        <s v="HAROLD"/>
        <s v="TIGERSHARK"/>
        <s v="DEOD"/>
        <s v="LUR"/>
        <s v="CEL"/>
        <s v="AIXCB"/>
        <s v="CHAT"/>
        <s v="BABYGROK"/>
        <s v="ALPACA"/>
        <s v="NITRO"/>
        <s v="MDAO"/>
        <s v="CPH"/>
        <s v="NATO"/>
        <s v="ORC"/>
        <s v="MSIA"/>
        <s v="CHI"/>
        <s v="QOM"/>
        <s v="XZK"/>
        <s v="TYPE"/>
        <s v="PLN"/>
        <s v="HODL"/>
        <s v="XTN"/>
        <s v="ADM"/>
        <s v="QGOV"/>
        <s v="CARR"/>
        <s v="JAM"/>
        <s v="DIP"/>
        <s v="IVPAY"/>
        <s v="GMAC"/>
      </sharedItems>
    </cacheField>
    <cacheField name="Price (USD)" numFmtId="0">
      <sharedItems/>
    </cacheField>
    <cacheField name="Price Category" numFmtId="0">
      <sharedItems count="2">
        <s v="Above $50"/>
        <s v="$0-$50"/>
      </sharedItems>
    </cacheField>
    <cacheField name="1h Change (%)" numFmtId="0">
      <sharedItems containsSemiMixedTypes="0" containsString="0" containsNumber="1" minValue="0" maxValue="4.2700000000000002E-2"/>
    </cacheField>
    <cacheField name="Market Cap" numFmtId="0">
      <sharedItems/>
    </cacheField>
    <cacheField name="MarketCap_Numeric" numFmtId="0">
      <sharedItems containsSemiMixedTypes="0" containsString="0" containsNumber="1" containsInteger="1" minValue="1733212" maxValue="2236591973065"/>
    </cacheField>
    <cacheField name="Volume (24h) USD" numFmtId="0">
      <sharedItems/>
    </cacheField>
    <cacheField name="Volume_Numeric" numFmtId="0">
      <sharedItems containsMixedTypes="1" containsNumber="1" containsInteger="1" minValue="10" maxValue="117252093277"/>
    </cacheField>
    <cacheField name="Circulating Supply" numFmtId="0">
      <sharedItems/>
    </cacheField>
    <cacheField name="CurrentPrice_Num" numFmtId="0">
      <sharedItems containsSemiMixedTypes="0" containsString="0" containsNumber="1" minValue="1.7589999999999999E-5" maxValue="112396.23"/>
    </cacheField>
    <cacheField name="PreviousPrice" numFmtId="0">
      <sharedItems containsSemiMixedTypes="0" containsString="0" containsNumber="1" minValue="1.7589999999999999E-5" maxValue="111637.09773539929"/>
    </cacheField>
    <cacheField name="PriceChange" numFmtId="0">
      <sharedItems containsSemiMixedTypes="0" containsString="0" containsNumber="1" minValue="0" maxValue="759.13226460070291"/>
    </cacheField>
    <cacheField name="Price_Range" numFmtId="0">
      <sharedItems count="2">
        <s v="&gt;= $10"/>
        <s v="Up to $10"/>
      </sharedItems>
    </cacheField>
    <cacheField name="Price_24h" numFmtId="0">
      <sharedItems containsSemiMixedTypes="0" containsString="0" containsNumber="1" minValue="1.7589999999999999E-5" maxValue="113165.75714861054"/>
    </cacheField>
    <cacheField name="Price_7d" numFmtId="0">
      <sharedItems containsSemiMixedTypes="0" containsString="0" containsNumber="1" minValue="1.7589999999999999E-5" maxValue="113160.52436399998"/>
    </cacheField>
    <cacheField name="Price_0_5" numFmtId="0">
      <sharedItems count="2">
        <s v="Above $5"/>
        <s v="$0-$5"/>
      </sharedItems>
    </cacheField>
    <cacheField name="Investment Range" numFmtId="0">
      <sharedItems count="5">
        <s v="&gt;$50"/>
        <s v="$0.5-$5"/>
        <s v="$0.05-$0.5"/>
        <s v="$5-$50"/>
        <s v="$0-$0.05"/>
      </sharedItems>
    </cacheField>
    <cacheField name="Average Downfall %" numFmtId="0">
      <sharedItems containsSemiMixedTypes="0" containsString="0" containsNumber="1" minValue="0" maxValue="4.2700000000000002E-2"/>
    </cacheField>
  </cacheFields>
  <extLst>
    <ext xmlns:x14="http://schemas.microsoft.com/office/spreadsheetml/2009/9/main" uri="{725AE2AE-9491-48be-B2B4-4EB974FC3084}">
      <x14:pivotCacheDefinition pivotCacheId="156493538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ravan Nemane" refreshedDate="46221.958671064815" backgroundQuery="1" createdVersion="3" refreshedVersion="8" minRefreshableVersion="3" recordCount="0" supportSubquery="1" supportAdvancedDrill="1" xr:uid="{AD2515C0-D5B7-4182-984C-9C4390DCB0A0}">
  <cacheSource type="external" connectionId="2">
    <extLst>
      <ext xmlns:x14="http://schemas.microsoft.com/office/spreadsheetml/2009/9/main" uri="{F057638F-6D5F-4e77-A914-E7F072B9BCA8}">
        <x14:sourceConnection name="ThisWorkbookDataModel"/>
      </ext>
    </extLst>
  </cacheSource>
  <cacheFields count="0"/>
  <cacheHierarchies count="23">
    <cacheHierarchy uniqueName="[Crypto_Data__2].[Coin Name]" caption="Coin Name" attribute="1" defaultMemberUniqueName="[Crypto_Data__2].[Coin Name].[All]" allUniqueName="[Crypto_Data__2].[Coin Name].[All]" dimensionUniqueName="[Crypto_Data__2]" displayFolder="" count="0" memberValueDatatype="130" unbalanced="0"/>
    <cacheHierarchy uniqueName="[Crypto_Data__2].[Allowed_Coin]" caption="Allowed_Coin" attribute="1" defaultMemberUniqueName="[Crypto_Data__2].[Allowed_Coin].[All]" allUniqueName="[Crypto_Data__2].[Allowed_Coin].[All]" dimensionUniqueName="[Crypto_Data__2]" displayFolder="" count="0" memberValueDatatype="130" unbalanced="0"/>
    <cacheHierarchy uniqueName="[Crypto_Data__2].[Symbol]" caption="Symbol" attribute="1" defaultMemberUniqueName="[Crypto_Data__2].[Symbol].[All]" allUniqueName="[Crypto_Data__2].[Symbol].[All]" dimensionUniqueName="[Crypto_Data__2]" displayFolder="" count="0" memberValueDatatype="130" unbalanced="0"/>
    <cacheHierarchy uniqueName="[Crypto_Data__2].[Price (USD)]" caption="Price (USD)" attribute="1" defaultMemberUniqueName="[Crypto_Data__2].[Price (USD)].[All]" allUniqueName="[Crypto_Data__2].[Price (USD)].[All]" dimensionUniqueName="[Crypto_Data__2]" displayFolder="" count="0" memberValueDatatype="130" unbalanced="0"/>
    <cacheHierarchy uniqueName="[Crypto_Data__2].[Price Category]" caption="Price Category" attribute="1" defaultMemberUniqueName="[Crypto_Data__2].[Price Category].[All]" allUniqueName="[Crypto_Data__2].[Price Category].[All]" dimensionUniqueName="[Crypto_Data__2]" displayFolder="" count="2" memberValueDatatype="130" unbalanced="0"/>
    <cacheHierarchy uniqueName="[Crypto_Data__2].[1h Change (%)]" caption="1h Change (%)" attribute="1" defaultMemberUniqueName="[Crypto_Data__2].[1h Change (%)].[All]" allUniqueName="[Crypto_Data__2].[1h Change (%)].[All]" dimensionUniqueName="[Crypto_Data__2]" displayFolder="" count="0" memberValueDatatype="5" unbalanced="0"/>
    <cacheHierarchy uniqueName="[Crypto_Data__2].[Market Cap]" caption="Market Cap" attribute="1" defaultMemberUniqueName="[Crypto_Data__2].[Market Cap].[All]" allUniqueName="[Crypto_Data__2].[Market Cap].[All]" dimensionUniqueName="[Crypto_Data__2]" displayFolder="" count="0" memberValueDatatype="130" unbalanced="0"/>
    <cacheHierarchy uniqueName="[Crypto_Data__2].[MarketCap_Numeric]" caption="MarketCap_Numeric" attribute="1" defaultMemberUniqueName="[Crypto_Data__2].[MarketCap_Numeric].[All]" allUniqueName="[Crypto_Data__2].[MarketCap_Numeric].[All]" dimensionUniqueName="[Crypto_Data__2]" displayFolder="" count="0" memberValueDatatype="5" unbalanced="0"/>
    <cacheHierarchy uniqueName="[Crypto_Data__2].[Volume (24h) USD]" caption="Volume (24h) USD" attribute="1" defaultMemberUniqueName="[Crypto_Data__2].[Volume (24h) USD].[All]" allUniqueName="[Crypto_Data__2].[Volume (24h) USD].[All]" dimensionUniqueName="[Crypto_Data__2]" displayFolder="" count="0" memberValueDatatype="130" unbalanced="0"/>
    <cacheHierarchy uniqueName="[Crypto_Data__2].[Volume_Numeric]" caption="Volume_Numeric" attribute="1" defaultMemberUniqueName="[Crypto_Data__2].[Volume_Numeric].[All]" allUniqueName="[Crypto_Data__2].[Volume_Numeric].[All]" dimensionUniqueName="[Crypto_Data__2]" displayFolder="" count="0" memberValueDatatype="130" unbalanced="0"/>
    <cacheHierarchy uniqueName="[Crypto_Data__2].[Circulating Supply]" caption="Circulating Supply" attribute="1" defaultMemberUniqueName="[Crypto_Data__2].[Circulating Supply].[All]" allUniqueName="[Crypto_Data__2].[Circulating Supply].[All]" dimensionUniqueName="[Crypto_Data__2]" displayFolder="" count="0" memberValueDatatype="130" unbalanced="0"/>
    <cacheHierarchy uniqueName="[Crypto_Data__2].[CurrentPrice_Num]" caption="CurrentPrice_Num" attribute="1" defaultMemberUniqueName="[Crypto_Data__2].[CurrentPrice_Num].[All]" allUniqueName="[Crypto_Data__2].[CurrentPrice_Num].[All]" dimensionUniqueName="[Crypto_Data__2]" displayFolder="" count="0" memberValueDatatype="5" unbalanced="0"/>
    <cacheHierarchy uniqueName="[Crypto_Data__2].[PreviousPrice]" caption="PreviousPrice" attribute="1" defaultMemberUniqueName="[Crypto_Data__2].[PreviousPrice].[All]" allUniqueName="[Crypto_Data__2].[PreviousPrice].[All]" dimensionUniqueName="[Crypto_Data__2]" displayFolder="" count="0" memberValueDatatype="5" unbalanced="0"/>
    <cacheHierarchy uniqueName="[Crypto_Data__2].[PriceChange]" caption="PriceChange" attribute="1" defaultMemberUniqueName="[Crypto_Data__2].[PriceChange].[All]" allUniqueName="[Crypto_Data__2].[PriceChange].[All]" dimensionUniqueName="[Crypto_Data__2]" displayFolder="" count="0" memberValueDatatype="5" unbalanced="0"/>
    <cacheHierarchy uniqueName="[Crypto_Data__2].[Price_Range]" caption="Price_Range" attribute="1" defaultMemberUniqueName="[Crypto_Data__2].[Price_Range].[All]" allUniqueName="[Crypto_Data__2].[Price_Range].[All]" dimensionUniqueName="[Crypto_Data__2]" displayFolder="" count="0" memberValueDatatype="130" unbalanced="0"/>
    <cacheHierarchy uniqueName="[Crypto_Data__2].[Price_24h]" caption="Price_24h" attribute="1" defaultMemberUniqueName="[Crypto_Data__2].[Price_24h].[All]" allUniqueName="[Crypto_Data__2].[Price_24h].[All]" dimensionUniqueName="[Crypto_Data__2]" displayFolder="" count="0" memberValueDatatype="5" unbalanced="0"/>
    <cacheHierarchy uniqueName="[Crypto_Data__2].[Price_7d]" caption="Price_7d" attribute="1" defaultMemberUniqueName="[Crypto_Data__2].[Price_7d].[All]" allUniqueName="[Crypto_Data__2].[Price_7d].[All]" dimensionUniqueName="[Crypto_Data__2]" displayFolder="" count="0" memberValueDatatype="5" unbalanced="0"/>
    <cacheHierarchy uniqueName="[Crypto_Data__2].[Price_0_5]" caption="Price_0_5" attribute="1" defaultMemberUniqueName="[Crypto_Data__2].[Price_0_5].[All]" allUniqueName="[Crypto_Data__2].[Price_0_5].[All]" dimensionUniqueName="[Crypto_Data__2]" displayFolder="" count="0" memberValueDatatype="130" unbalanced="0"/>
    <cacheHierarchy uniqueName="[Crypto_Data__2].[Investment Range]" caption="Investment Range" attribute="1" defaultMemberUniqueName="[Crypto_Data__2].[Investment Range].[All]" allUniqueName="[Crypto_Data__2].[Investment Range].[All]" dimensionUniqueName="[Crypto_Data__2]" displayFolder="" count="0" memberValueDatatype="130" unbalanced="0"/>
    <cacheHierarchy uniqueName="[Crypto_Data__2].[Average Downfall %]" caption="Average Downfall %" attribute="1" defaultMemberUniqueName="[Crypto_Data__2].[Average Downfall %].[All]" allUniqueName="[Crypto_Data__2].[Average Downfall %].[All]" dimensionUniqueName="[Crypto_Data__2]" displayFolder="" count="0" memberValueDatatype="5" unbalanced="0"/>
    <cacheHierarchy uniqueName="[Measures].[__XL_Count Crypto_Data__2]" caption="__XL_Count Crypto_Data__2" measure="1" displayFolder="" measureGroup="Crypto_Data__2" count="0" hidden="1"/>
    <cacheHierarchy uniqueName="[Measures].[__No measures defined]" caption="__No measures defined" measure="1" displayFolder="" count="0" hidden="1"/>
    <cacheHierarchy uniqueName="[Measures].[Count of Volume_Numeric]" caption="Count of Volume_Numeric" measure="1" displayFolder="" measureGroup="Crypto_Data__2"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1495632066"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x v="0"/>
    <x v="0"/>
    <x v="0"/>
    <s v="$112,396.23"/>
    <x v="0"/>
    <n v="6.7999999999999996E-3"/>
    <s v="$2,236,591,973,065"/>
    <n v="2236591973065"/>
    <s v="$61,196,410,006"/>
    <n v="61196410006"/>
    <s v="19.91M"/>
    <n v="112396.23"/>
    <n v="111637.09773539929"/>
    <n v="759.13226460070291"/>
    <x v="0"/>
    <n v="113165.75714861054"/>
    <n v="113160.52436399998"/>
    <x v="0"/>
    <x v="0"/>
    <n v="6.7999999999999996E-3"/>
  </r>
  <r>
    <x v="1"/>
    <x v="0"/>
    <x v="1"/>
    <s v="$4,631.69"/>
    <x v="0"/>
    <n v="4.3E-3"/>
    <s v="$558,774,287,294"/>
    <n v="558774287294"/>
    <s v="$43,714,609,700"/>
    <n v="43714609700"/>
    <s v="120.7M"/>
    <n v="4631.6899999999996"/>
    <n v="4611.8590062730254"/>
    <n v="19.830993726974157"/>
    <x v="0"/>
    <n v="4651.692276790197"/>
    <n v="4651.6062669999992"/>
    <x v="0"/>
    <x v="0"/>
    <n v="4.3E-3"/>
  </r>
  <r>
    <x v="2"/>
    <x v="1"/>
    <x v="2"/>
    <s v="$3.02"/>
    <x v="1"/>
    <n v="4.4999999999999997E-3"/>
    <s v="$179,761,935,139"/>
    <n v="179761935139"/>
    <s v="$6,447,508,710"/>
    <n v="6447508710"/>
    <s v="59.48B"/>
    <n v="3.02"/>
    <n v="3.0064708810353413"/>
    <n v="1.3529118964658693E-2"/>
    <x v="1"/>
    <n v="3.0336514314414864"/>
    <n v="3.0335899999999998"/>
    <x v="1"/>
    <x v="1"/>
    <n v="4.4999999999999997E-3"/>
  </r>
  <r>
    <x v="3"/>
    <x v="1"/>
    <x v="3"/>
    <s v="$1.00"/>
    <x v="1"/>
    <n v="6.9999999999999999E-4"/>
    <s v="$167,211,922,205"/>
    <n v="167211922205"/>
    <s v="$117,252,093,277"/>
    <n v="117252093277"/>
    <s v="167.2B"/>
    <n v="1"/>
    <n v="0.99930048965724005"/>
    <n v="6.9951034275994584E-4"/>
    <x v="1"/>
    <n v="1.0007004903432404"/>
    <n v="1.0006999999999999"/>
    <x v="1"/>
    <x v="1"/>
    <n v="6.9999999999999999E-4"/>
  </r>
  <r>
    <x v="4"/>
    <x v="0"/>
    <x v="4"/>
    <s v="$864.91"/>
    <x v="0"/>
    <n v="2.3999999999999998E-3"/>
    <s v="$120,460,279,991"/>
    <n v="120460279991"/>
    <s v="$2,278,674,127"/>
    <n v="2278674127"/>
    <s v="139.28M"/>
    <n v="864.91"/>
    <n v="862.83918595371108"/>
    <n v="2.0708140462888878"/>
    <x v="0"/>
    <n v="866.99077786688042"/>
    <n v="866.98578399999997"/>
    <x v="0"/>
    <x v="0"/>
    <n v="2.3999999999999998E-3"/>
  </r>
  <r>
    <x v="5"/>
    <x v="1"/>
    <x v="5"/>
    <s v="$208.97"/>
    <x v="0"/>
    <n v="7.7999999999999996E-3"/>
    <s v="$112,989,075,044"/>
    <n v="112989075044"/>
    <s v="$10,127,054,144"/>
    <n v="10127054144"/>
    <s v="540.67M"/>
    <n v="208.97"/>
    <n v="207.35264933518553"/>
    <n v="1.6173506648144667"/>
    <x v="0"/>
    <n v="210.61277968151583"/>
    <n v="210.59996599999999"/>
    <x v="0"/>
    <x v="0"/>
    <n v="7.7999999999999996E-3"/>
  </r>
  <r>
    <x v="6"/>
    <x v="0"/>
    <x v="6"/>
    <s v="$0.9997"/>
    <x v="1"/>
    <n v="5.9999999999999995E-4"/>
    <s v="$69,140,705,171"/>
    <n v="69140705171"/>
    <s v="$17,027,792,821"/>
    <n v="17027792821"/>
    <s v="69.15B"/>
    <n v="0.99970000000000003"/>
    <n v="0.99910053967619439"/>
    <n v="5.9946032380564507E-4"/>
    <x v="1"/>
    <n v="1.0003001801080649"/>
    <n v="1.00029982"/>
    <x v="1"/>
    <x v="1"/>
    <n v="5.9999999999999995E-4"/>
  </r>
  <r>
    <x v="7"/>
    <x v="0"/>
    <x v="7"/>
    <s v="$0.2217"/>
    <x v="1"/>
    <n v="6.7000000000000002E-3"/>
    <s v="$33,418,883,909"/>
    <n v="33418883909"/>
    <s v="$1,961,967,012"/>
    <n v="1961967012"/>
    <s v="150.69B"/>
    <n v="0.22170000000000001"/>
    <n v="0.22022449587761997"/>
    <n v="1.4755041223800391E-3"/>
    <x v="1"/>
    <n v="0.22319540924192088"/>
    <n v="0.22318538999999998"/>
    <x v="1"/>
    <x v="2"/>
    <n v="6.7000000000000002E-3"/>
  </r>
  <r>
    <x v="8"/>
    <x v="1"/>
    <x v="8"/>
    <s v="$0.3502"/>
    <x v="1"/>
    <n v="1E-3"/>
    <s v="$33,151,724,508"/>
    <n v="33151724508"/>
    <s v="$973,139,421"/>
    <n v="973139421"/>
    <s v="94.66B"/>
    <n v="0.35020000000000001"/>
    <n v="0.34985014985014989"/>
    <n v="3.498501498501172E-4"/>
    <x v="1"/>
    <n v="0.35055055055055057"/>
    <n v="0.35055019999999998"/>
    <x v="1"/>
    <x v="2"/>
    <n v="1E-3"/>
  </r>
  <r>
    <x v="9"/>
    <x v="0"/>
    <x v="9"/>
    <s v="$0.8693"/>
    <x v="1"/>
    <n v="3.2000000000000002E-3"/>
    <s v="$31,055,700,401"/>
    <n v="31055700401"/>
    <s v="$1,153,461,846"/>
    <n v="1153461846"/>
    <s v="35.72B"/>
    <n v="0.86929999999999996"/>
    <n v="0.86652711323763942"/>
    <n v="2.772886762360538E-3"/>
    <x v="1"/>
    <n v="0.8720906902086677"/>
    <n v="0.87208176000000004"/>
    <x v="1"/>
    <x v="1"/>
    <n v="3.2000000000000002E-3"/>
  </r>
  <r>
    <x v="10"/>
    <x v="1"/>
    <x v="10"/>
    <s v="$0.9995"/>
    <x v="1"/>
    <n v="1E-4"/>
    <s v="$687,657,857"/>
    <n v="687657857"/>
    <s v="$64,711,407"/>
    <n v="64711407"/>
    <s v="687.95M"/>
    <n v="0.99950000000000006"/>
    <n v="0.99940005999400061"/>
    <n v="9.9940005999443748E-5"/>
    <x v="1"/>
    <n v="0.9995999599959996"/>
    <n v="0.99959995000000001"/>
    <x v="1"/>
    <x v="1"/>
    <n v="1E-4"/>
  </r>
  <r>
    <x v="11"/>
    <x v="1"/>
    <x v="11"/>
    <s v="$42.45"/>
    <x v="1"/>
    <n v="8.0000000000000002E-3"/>
    <s v="$687,228,061"/>
    <n v="687228061"/>
    <s v="$71,132,312"/>
    <n v="71132312"/>
    <s v="16.18M"/>
    <n v="42.45"/>
    <n v="42.113095238095241"/>
    <n v="0.33690476190476204"/>
    <x v="0"/>
    <n v="42.792338709677423"/>
    <n v="42.7896"/>
    <x v="0"/>
    <x v="3"/>
    <n v="8.0000000000000002E-3"/>
  </r>
  <r>
    <x v="12"/>
    <x v="0"/>
    <x v="12"/>
    <s v="$0.009181"/>
    <x v="1"/>
    <n v="3.0000000000000001E-3"/>
    <s v="$683,949,558"/>
    <n v="683949558"/>
    <s v="$29,038,108"/>
    <n v="29038108"/>
    <s v="74.48B"/>
    <n v="9.1809999999999999E-3"/>
    <n v="9.1535393818544374E-3"/>
    <n v="2.7460618145562499E-5"/>
    <x v="1"/>
    <n v="9.2086258776328984E-3"/>
    <n v="9.2085429999999996E-3"/>
    <x v="1"/>
    <x v="4"/>
    <n v="3.0000000000000001E-3"/>
  </r>
  <r>
    <x v="13"/>
    <x v="1"/>
    <x v="13"/>
    <s v="$0.1171"/>
    <x v="1"/>
    <n v="5.1999999999999998E-3"/>
    <s v="$673,440,961"/>
    <n v="673440961"/>
    <s v="$24,411,942"/>
    <n v="24411942"/>
    <s v="5.74B"/>
    <n v="0.1171"/>
    <n v="0.11649423000397929"/>
    <n v="6.0576999602070247E-4"/>
    <x v="1"/>
    <n v="0.11771210293526337"/>
    <n v="0.11770892000000001"/>
    <x v="1"/>
    <x v="2"/>
    <n v="5.1999999999999998E-3"/>
  </r>
  <r>
    <x v="14"/>
    <x v="0"/>
    <x v="14"/>
    <s v="$0.066662"/>
    <x v="1"/>
    <n v="5.9999999999999995E-4"/>
    <s v="$656,968,217"/>
    <n v="656968217"/>
    <s v="$29,706,225"/>
    <n v="29706225"/>
    <s v="986.06T"/>
    <n v="6.6661999999999999E-2"/>
    <n v="6.6622026783929644E-2"/>
    <n v="3.9973216070354756E-5"/>
    <x v="1"/>
    <n v="6.6702021212727641E-2"/>
    <n v="6.6701997199999988E-2"/>
    <x v="1"/>
    <x v="2"/>
    <n v="5.9999999999999995E-4"/>
  </r>
  <r>
    <x v="15"/>
    <x v="1"/>
    <x v="15"/>
    <s v="$0.3909"/>
    <x v="1"/>
    <n v="1.5E-3"/>
    <s v="$626,962,319"/>
    <n v="626962319"/>
    <s v="$21,684,159"/>
    <n v="21684159"/>
    <s v="1.6B"/>
    <n v="0.39090000000000003"/>
    <n v="0.39031452820768847"/>
    <n v="5.8547179231155377E-4"/>
    <x v="1"/>
    <n v="0.39148723084626941"/>
    <n v="0.39148635000000004"/>
    <x v="1"/>
    <x v="2"/>
    <n v="1.5E-3"/>
  </r>
  <r>
    <x v="16"/>
    <x v="0"/>
    <x v="16"/>
    <s v="$7.42"/>
    <x v="1"/>
    <n v="3.0000000000000001E-3"/>
    <s v="$621,864,440"/>
    <n v="621864440"/>
    <s v="$7,491,105"/>
    <n v="7491105"/>
    <s v="83.73M"/>
    <n v="7.42"/>
    <n v="7.397806580259223"/>
    <n v="2.2193419740776932E-2"/>
    <x v="1"/>
    <n v="7.4423269809428287"/>
    <n v="7.4422599999999992"/>
    <x v="0"/>
    <x v="3"/>
    <n v="3.0000000000000001E-3"/>
  </r>
  <r>
    <x v="17"/>
    <x v="0"/>
    <x v="17"/>
    <s v="$0.5774"/>
    <x v="1"/>
    <n v="1.1000000000000001E-3"/>
    <s v="$577,405,381"/>
    <n v="577405381"/>
    <s v="$23,722,335"/>
    <n v="23722335"/>
    <s v="1B"/>
    <n v="0.57740000000000002"/>
    <n v="0.576765557886325"/>
    <n v="6.3444211367502668E-4"/>
    <x v="1"/>
    <n v="0.57803583942336567"/>
    <n v="0.57803514000000011"/>
    <x v="1"/>
    <x v="1"/>
    <n v="1.1000000000000001E-3"/>
  </r>
  <r>
    <x v="18"/>
    <x v="1"/>
    <x v="18"/>
    <s v="$0.4049"/>
    <x v="1"/>
    <n v="3.3E-3"/>
    <s v="$572,387,192"/>
    <n v="572387192"/>
    <s v="$19,083,906"/>
    <n v="19083906"/>
    <s v="1.41B"/>
    <n v="0.40489999999999998"/>
    <n v="0.40356822485796867"/>
    <n v="1.3317751420313106E-3"/>
    <x v="1"/>
    <n v="0.40624059396006817"/>
    <n v="0.40623617000000001"/>
    <x v="1"/>
    <x v="2"/>
    <n v="3.3E-3"/>
  </r>
  <r>
    <x v="19"/>
    <x v="0"/>
    <x v="19"/>
    <s v="$0.2882"/>
    <x v="1"/>
    <n v="3.8999999999999998E-3"/>
    <s v="$567,782,071"/>
    <n v="567782071"/>
    <s v="$27,296,450"/>
    <n v="27296450"/>
    <s v="1.96B"/>
    <n v="0.28820000000000001"/>
    <n v="0.28708038649267859"/>
    <n v="1.1196135073214264E-3"/>
    <x v="1"/>
    <n v="0.28932838068467021"/>
    <n v="0.28932398000000004"/>
    <x v="1"/>
    <x v="2"/>
    <n v="3.8999999999999998E-3"/>
  </r>
  <r>
    <x v="20"/>
    <x v="1"/>
    <x v="20"/>
    <s v="$4.54"/>
    <x v="1"/>
    <n v="4.0000000000000002E-4"/>
    <s v="$1,982,420,729"/>
    <n v="1982420729"/>
    <s v="$64,466,358"/>
    <n v="64466358"/>
    <s v="436.26M"/>
    <n v="4.54"/>
    <n v="4.5381847261095567"/>
    <n v="1.8152738904433363E-3"/>
    <x v="1"/>
    <n v="4.5418167266906764"/>
    <n v="4.5418159999999999"/>
    <x v="1"/>
    <x v="1"/>
    <n v="4.0000000000000002E-4"/>
  </r>
  <r>
    <x v="21"/>
    <x v="1"/>
    <x v="21"/>
    <s v="$5.48"/>
    <x v="1"/>
    <n v="4.7000000000000002E-3"/>
    <s v="$1,955,931,785"/>
    <n v="1955931785"/>
    <s v="$26,985,300"/>
    <n v="26985300"/>
    <s v="356.55M"/>
    <n v="5.48"/>
    <n v="5.4543644869115164"/>
    <n v="2.5635513088483997E-2"/>
    <x v="1"/>
    <n v="5.5058776248367334"/>
    <n v="5.5057559999999999"/>
    <x v="0"/>
    <x v="3"/>
    <n v="4.7000000000000002E-3"/>
  </r>
  <r>
    <x v="22"/>
    <x v="1"/>
    <x v="22"/>
    <s v="$1.00"/>
    <x v="1"/>
    <n v="2.0000000000000001E-4"/>
    <s v="$1,253,095,193"/>
    <n v="1253095193"/>
    <s v="$30,789,467"/>
    <n v="30789467"/>
    <s v="1.25B"/>
    <n v="1"/>
    <n v="0.99980003999200162"/>
    <n v="1.9996000799837876E-4"/>
    <x v="1"/>
    <n v="1.0002000400080016"/>
    <n v="1.0002"/>
    <x v="1"/>
    <x v="1"/>
    <n v="2.0000000000000001E-4"/>
  </r>
  <r>
    <x v="23"/>
    <x v="1"/>
    <x v="23"/>
    <s v="$0.02395"/>
    <x v="1"/>
    <n v="2.2000000000000001E-3"/>
    <s v="$738,956,737"/>
    <n v="738956737"/>
    <s v="$8,289,454"/>
    <n v="8289454"/>
    <s v="30.84B"/>
    <n v="2.3949999999999999E-2"/>
    <n v="2.3897425663540212E-2"/>
    <n v="5.2574336459786791E-5"/>
    <x v="1"/>
    <n v="2.400280617358188E-2"/>
    <n v="2.400269E-2"/>
    <x v="1"/>
    <x v="4"/>
    <n v="2.2000000000000001E-3"/>
  </r>
  <r>
    <x v="24"/>
    <x v="0"/>
    <x v="24"/>
    <s v="$1.10"/>
    <x v="1"/>
    <n v="1.1000000000000001E-3"/>
    <s v="$691,597,867"/>
    <n v="691597867"/>
    <s v="$1,338,625"/>
    <n v="1338625"/>
    <s v="626.67M"/>
    <n v="1.1000000000000001"/>
    <n v="1.0987913295375087"/>
    <n v="1.2086704624914013E-3"/>
    <x v="1"/>
    <n v="1.1012113324657125"/>
    <n v="1.1012100000000002"/>
    <x v="1"/>
    <x v="1"/>
    <n v="1.1000000000000001E-3"/>
  </r>
  <r>
    <x v="25"/>
    <x v="0"/>
    <x v="25"/>
    <s v="$0.9983"/>
    <x v="1"/>
    <n v="0"/>
    <s v="$642,088,143"/>
    <n v="642088143"/>
    <s v="$4,463,129"/>
    <n v="4463129"/>
    <s v="643.12M"/>
    <n v="0.99829999999999997"/>
    <n v="0.99829999999999997"/>
    <n v="0"/>
    <x v="1"/>
    <n v="0.99829999999999997"/>
    <n v="0.99829999999999997"/>
    <x v="1"/>
    <x v="1"/>
    <n v="0"/>
  </r>
  <r>
    <x v="26"/>
    <x v="1"/>
    <x v="26"/>
    <s v="$0.1745"/>
    <x v="1"/>
    <n v="5.8999999999999999E-3"/>
    <s v="$607,020,903"/>
    <n v="607020903"/>
    <s v="$1,377,265"/>
    <n v="1377265"/>
    <s v="3.47B"/>
    <n v="0.17449999999999999"/>
    <n v="0.1734764887165722"/>
    <n v="1.023511283427786E-3"/>
    <x v="1"/>
    <n v="0.17553566039633839"/>
    <n v="0.17552954999999998"/>
    <x v="1"/>
    <x v="2"/>
    <n v="5.8999999999999999E-3"/>
  </r>
  <r>
    <x v="27"/>
    <x v="0"/>
    <x v="27"/>
    <s v="$0.07629"/>
    <x v="1"/>
    <n v="2.3E-3"/>
    <s v="$545,355,889"/>
    <n v="545355889"/>
    <s v="$4,396,792"/>
    <n v="4396792"/>
    <s v="7.14B"/>
    <n v="7.6289999999999997E-2"/>
    <n v="7.6114935648009571E-2"/>
    <n v="1.7506435199042547E-4"/>
    <x v="1"/>
    <n v="7.6465871504460256E-2"/>
    <n v="7.6465466999999995E-2"/>
    <x v="1"/>
    <x v="2"/>
    <n v="2.3E-3"/>
  </r>
  <r>
    <x v="28"/>
    <x v="1"/>
    <x v="28"/>
    <s v="$0.9998"/>
    <x v="1"/>
    <n v="2.9999999999999997E-4"/>
    <s v="$538,269,461"/>
    <n v="538269461"/>
    <s v="$5,715,956"/>
    <n v="5715956"/>
    <s v="538.36M"/>
    <n v="0.99980000000000002"/>
    <n v="0.99950014995501357"/>
    <n v="2.998500449864494E-4"/>
    <x v="1"/>
    <n v="1.0001000300090026"/>
    <n v="1.0000999399999999"/>
    <x v="1"/>
    <x v="1"/>
    <n v="2.9999999999999997E-4"/>
  </r>
  <r>
    <x v="29"/>
    <x v="1"/>
    <x v="29"/>
    <s v="$1.94"/>
    <x v="1"/>
    <n v="1.6000000000000001E-3"/>
    <s v="$503,419,749"/>
    <n v="503419749"/>
    <s v="$325,843"/>
    <n v="325843"/>
    <s v="258.97M"/>
    <n v="1.94"/>
    <n v="1.9369009584664536"/>
    <n v="3.0990415335463428E-3"/>
    <x v="1"/>
    <n v="1.9431089743589745"/>
    <n v="1.9431039999999999"/>
    <x v="1"/>
    <x v="1"/>
    <n v="1.6000000000000001E-3"/>
  </r>
  <r>
    <x v="30"/>
    <x v="1"/>
    <x v="30"/>
    <s v="$0.07137"/>
    <x v="1"/>
    <n v="4.0000000000000002E-4"/>
    <s v="$136,125,306"/>
    <n v="136125306"/>
    <s v="$6,721,454"/>
    <n v="6721454"/>
    <s v="1.9B"/>
    <n v="7.1370000000000003E-2"/>
    <n v="7.1341463414634154E-2"/>
    <n v="2.8536585365848688E-5"/>
    <x v="1"/>
    <n v="7.1398559423769506E-2"/>
    <n v="7.1398548000000006E-2"/>
    <x v="1"/>
    <x v="2"/>
    <n v="4.0000000000000002E-4"/>
  </r>
  <r>
    <x v="31"/>
    <x v="0"/>
    <x v="31"/>
    <s v="$0.9995"/>
    <x v="1"/>
    <n v="0"/>
    <s v="$132,578,463"/>
    <n v="132578463"/>
    <s v="$343,471"/>
    <n v="343471"/>
    <s v="132.63M"/>
    <n v="0.99950000000000006"/>
    <n v="0.99950000000000006"/>
    <n v="0"/>
    <x v="1"/>
    <n v="0.99950000000000006"/>
    <n v="0.99950000000000006"/>
    <x v="1"/>
    <x v="1"/>
    <n v="0"/>
  </r>
  <r>
    <x v="32"/>
    <x v="1"/>
    <x v="32"/>
    <s v="$0.9996"/>
    <x v="1"/>
    <n v="2.0000000000000001E-4"/>
    <s v="$131,915,058"/>
    <n v="131915058"/>
    <s v="$1,092,882"/>
    <n v="1092882"/>
    <s v="131.95M"/>
    <n v="0.99960000000000004"/>
    <n v="0.99940011997600486"/>
    <n v="1.9988002399518034E-4"/>
    <x v="1"/>
    <n v="0.99979995999199844"/>
    <n v="0.99979992000000006"/>
    <x v="1"/>
    <x v="1"/>
    <n v="2.0000000000000001E-4"/>
  </r>
  <r>
    <x v="33"/>
    <x v="1"/>
    <x v="33"/>
    <s v="$0.1332"/>
    <x v="1"/>
    <n v="4.3E-3"/>
    <s v="$131,880,666"/>
    <n v="131880666"/>
    <s v="$2,531,201"/>
    <n v="2531201"/>
    <s v="989.35M"/>
    <n v="0.13320000000000001"/>
    <n v="0.13262969232301106"/>
    <n v="5.7030767698895701E-4"/>
    <x v="1"/>
    <n v="0.1337752335040675"/>
    <n v="0.13377276000000002"/>
    <x v="1"/>
    <x v="2"/>
    <n v="4.3E-3"/>
  </r>
  <r>
    <x v="34"/>
    <x v="0"/>
    <x v="34"/>
    <s v="$0.2781"/>
    <x v="1"/>
    <n v="1.3100000000000001E-2"/>
    <s v="$129,554,753"/>
    <n v="129554753"/>
    <s v="$7,930,906"/>
    <n v="7930906"/>
    <s v="465.83M"/>
    <n v="0.27810000000000001"/>
    <n v="0.27450399763103345"/>
    <n v="3.5960023689665666E-3"/>
    <x v="1"/>
    <n v="0.28179146823386364"/>
    <n v="0.28174311000000002"/>
    <x v="1"/>
    <x v="2"/>
    <n v="1.3100000000000001E-2"/>
  </r>
  <r>
    <x v="35"/>
    <x v="0"/>
    <x v="35"/>
    <s v="$0.9997"/>
    <x v="1"/>
    <n v="1E-4"/>
    <s v="$128,872,926"/>
    <n v="128872926"/>
    <s v="$8,432,086"/>
    <n v="8432086"/>
    <s v="128.9M"/>
    <n v="0.99970000000000003"/>
    <n v="0.99960003999600044"/>
    <n v="9.9960003999588487E-5"/>
    <x v="1"/>
    <n v="0.99979997999799985"/>
    <n v="0.99979996999999998"/>
    <x v="1"/>
    <x v="1"/>
    <n v="1E-4"/>
  </r>
  <r>
    <x v="36"/>
    <x v="0"/>
    <x v="36"/>
    <s v="$0.04956"/>
    <x v="1"/>
    <n v="5.0000000000000001E-3"/>
    <s v="$128,393,361"/>
    <n v="128393361"/>
    <s v="$10,778,520"/>
    <n v="10778520"/>
    <s v="2.59B"/>
    <n v="4.956E-2"/>
    <n v="4.9313432835820903E-2"/>
    <n v="2.4656716417909702E-4"/>
    <x v="1"/>
    <n v="4.9809045226130652E-2"/>
    <n v="4.9807799999999992E-2"/>
    <x v="1"/>
    <x v="4"/>
    <n v="5.0000000000000001E-3"/>
  </r>
  <r>
    <x v="37"/>
    <x v="1"/>
    <x v="37"/>
    <s v="$0.02674"/>
    <x v="1"/>
    <n v="5.0000000000000001E-4"/>
    <s v="$128,203,844"/>
    <n v="128203844"/>
    <s v="$10,487,502"/>
    <n v="10487502"/>
    <s v="4.79B"/>
    <n v="2.674E-2"/>
    <n v="2.6726636681659172E-2"/>
    <n v="1.3363318340828267E-5"/>
    <x v="1"/>
    <n v="2.6753376688344172E-2"/>
    <n v="2.6753369999999999E-2"/>
    <x v="1"/>
    <x v="4"/>
    <n v="5.0000000000000001E-4"/>
  </r>
  <r>
    <x v="38"/>
    <x v="0"/>
    <x v="38"/>
    <s v="$0.06809"/>
    <x v="1"/>
    <n v="4.3E-3"/>
    <s v="$127,672,149"/>
    <n v="127672149"/>
    <s v="$11,344,790"/>
    <n v="11344790"/>
    <s v="1.87B"/>
    <n v="6.8089999999999998E-2"/>
    <n v="6.7798466593647314E-2"/>
    <n v="2.9153340635268421E-4"/>
    <x v="1"/>
    <n v="6.8384051421110773E-2"/>
    <n v="6.8382787E-2"/>
    <x v="1"/>
    <x v="2"/>
    <n v="4.3E-3"/>
  </r>
  <r>
    <x v="39"/>
    <x v="1"/>
    <x v="39"/>
    <s v="$4.24"/>
    <x v="1"/>
    <n v="1.9E-3"/>
    <s v="$127,660,598"/>
    <n v="127660598"/>
    <s v="$9,341,488"/>
    <n v="9341488"/>
    <s v="30.08M"/>
    <n v="4.24"/>
    <n v="4.231959277372991"/>
    <n v="8.040722627009167E-3"/>
    <x v="1"/>
    <n v="4.2480713355375217"/>
    <n v="4.2480560000000001"/>
    <x v="1"/>
    <x v="1"/>
    <n v="1.9E-3"/>
  </r>
  <r>
    <x v="40"/>
    <x v="0"/>
    <x v="40"/>
    <s v="$0.4326"/>
    <x v="1"/>
    <n v="1.32E-2"/>
    <s v="$87,828,987"/>
    <n v="87828987"/>
    <s v="$9,141,404"/>
    <n v="9141404"/>
    <s v="203.02M"/>
    <n v="0.43259999999999998"/>
    <n v="0.42696407422029209"/>
    <n v="5.6359257797078954E-3"/>
    <x v="1"/>
    <n v="0.43838670449939193"/>
    <n v="0.43831032000000003"/>
    <x v="1"/>
    <x v="2"/>
    <n v="1.32E-2"/>
  </r>
  <r>
    <x v="41"/>
    <x v="0"/>
    <x v="41"/>
    <s v="$1.62"/>
    <x v="1"/>
    <n v="1E-3"/>
    <s v="$87,776,158"/>
    <n v="87776158"/>
    <s v="$9,108,166"/>
    <n v="9108166"/>
    <s v="54.05M"/>
    <n v="1.62"/>
    <n v="1.6183816183816186"/>
    <n v="1.6183816183814592E-3"/>
    <x v="1"/>
    <n v="1.6216216216216217"/>
    <n v="1.6216199999999998"/>
    <x v="1"/>
    <x v="1"/>
    <n v="1E-3"/>
  </r>
  <r>
    <x v="42"/>
    <x v="1"/>
    <x v="42"/>
    <s v="$0.6995"/>
    <x v="1"/>
    <n v="0"/>
    <s v="$86,786,092"/>
    <n v="86786092"/>
    <s v="$24,699"/>
    <n v="24699"/>
    <s v="124.06M"/>
    <n v="0.69950000000000001"/>
    <n v="0.69950000000000001"/>
    <n v="0"/>
    <x v="1"/>
    <n v="0.69950000000000001"/>
    <n v="0.69950000000000001"/>
    <x v="1"/>
    <x v="1"/>
    <n v="0"/>
  </r>
  <r>
    <x v="43"/>
    <x v="0"/>
    <x v="43"/>
    <s v="$2.88"/>
    <x v="1"/>
    <n v="1.2999999999999999E-3"/>
    <s v="$86,613,592"/>
    <n v="86613592"/>
    <s v="$295,825"/>
    <n v="295825"/>
    <s v="30M"/>
    <n v="2.88"/>
    <n v="2.8762608608808544"/>
    <n v="3.7391391191454737E-3"/>
    <x v="1"/>
    <n v="2.8837488735355961"/>
    <n v="2.8837440000000001"/>
    <x v="1"/>
    <x v="1"/>
    <n v="1.2999999999999999E-3"/>
  </r>
  <r>
    <x v="44"/>
    <x v="0"/>
    <x v="44"/>
    <s v="$0.08647"/>
    <x v="1"/>
    <n v="2.0000000000000001E-4"/>
    <s v="$86,345,798"/>
    <n v="86345798"/>
    <s v="$4,522,686"/>
    <n v="4522686"/>
    <s v="998.46M"/>
    <n v="8.6470000000000005E-2"/>
    <n v="8.6452709458108387E-2"/>
    <n v="1.729054189161805E-5"/>
    <x v="1"/>
    <n v="8.6487297459491908E-2"/>
    <n v="8.6487294000000006E-2"/>
    <x v="1"/>
    <x v="2"/>
    <n v="2.0000000000000001E-4"/>
  </r>
  <r>
    <x v="45"/>
    <x v="0"/>
    <x v="45"/>
    <s v="$0.06401"/>
    <x v="1"/>
    <n v="1.9E-3"/>
    <s v="$86,441,423"/>
    <n v="86441423"/>
    <s v="$6,787,116"/>
    <n v="6787116"/>
    <s v="1.35B"/>
    <n v="6.4009999999999997E-2"/>
    <n v="6.3888611637888004E-2"/>
    <n v="1.2138836211199322E-4"/>
    <x v="1"/>
    <n v="6.413185051598036E-2"/>
    <n v="6.4131619000000001E-2"/>
    <x v="1"/>
    <x v="2"/>
    <n v="1.9E-3"/>
  </r>
  <r>
    <x v="46"/>
    <x v="0"/>
    <x v="46"/>
    <s v="$0.4504"/>
    <x v="1"/>
    <n v="5.1999999999999998E-3"/>
    <s v="$85,996,731"/>
    <n v="85996731"/>
    <s v="$4,342,188"/>
    <n v="4342188"/>
    <s v="190.9M"/>
    <n v="0.45040000000000002"/>
    <n v="0.44807003581376836"/>
    <n v="2.3299641862316589E-3"/>
    <x v="1"/>
    <n v="0.4527543224768798"/>
    <n v="0.45274208000000005"/>
    <x v="1"/>
    <x v="2"/>
    <n v="5.1999999999999998E-3"/>
  </r>
  <r>
    <x v="47"/>
    <x v="1"/>
    <x v="47"/>
    <s v="$0.08568"/>
    <x v="1"/>
    <n v="8.8000000000000005E-3"/>
    <s v="$85,680,579"/>
    <n v="85680579"/>
    <s v="$14,947,172"/>
    <n v="14947172"/>
    <s v="999.99M"/>
    <n v="8.5680000000000006E-2"/>
    <n v="8.4932593180015878E-2"/>
    <n v="7.4740681998412828E-4"/>
    <x v="1"/>
    <n v="8.6440677966101706E-2"/>
    <n v="8.6433984000000005E-2"/>
    <x v="1"/>
    <x v="2"/>
    <n v="8.8000000000000005E-3"/>
  </r>
  <r>
    <x v="48"/>
    <x v="0"/>
    <x v="48"/>
    <s v="$0.08543"/>
    <x v="1"/>
    <n v="3.8E-3"/>
    <s v="$85,436,011"/>
    <n v="85436011"/>
    <s v="$10,238,715"/>
    <n v="10238715"/>
    <s v="999.96M"/>
    <n v="8.5430000000000006E-2"/>
    <n v="8.5106594939230923E-2"/>
    <n v="3.2340506076908304E-4"/>
    <x v="1"/>
    <n v="8.5755872314796228E-2"/>
    <n v="8.575463400000001E-2"/>
    <x v="1"/>
    <x v="2"/>
    <n v="3.8E-3"/>
  </r>
  <r>
    <x v="49"/>
    <x v="1"/>
    <x v="49"/>
    <s v="$0.8861"/>
    <x v="1"/>
    <n v="0"/>
    <s v="$84,791,103"/>
    <n v="84791103"/>
    <s v="N/A"/>
    <e v="#VALUE!"/>
    <s v="95.68M"/>
    <n v="0.8861"/>
    <n v="0.8861"/>
    <n v="0"/>
    <x v="1"/>
    <n v="0.8861"/>
    <n v="0.8861"/>
    <x v="1"/>
    <x v="1"/>
    <n v="0"/>
  </r>
  <r>
    <x v="50"/>
    <x v="1"/>
    <x v="50"/>
    <s v="$0.03141"/>
    <x v="1"/>
    <n v="7.7000000000000002E-3"/>
    <s v="$62,836,837"/>
    <n v="62836837"/>
    <s v="$13,787,251"/>
    <n v="13787251"/>
    <s v="2B"/>
    <n v="3.141E-2"/>
    <n v="3.1169991068770466E-2"/>
    <n v="2.4000893122953434E-4"/>
    <x v="1"/>
    <n v="3.1653733749874034E-2"/>
    <n v="3.1651856999999999E-2"/>
    <x v="1"/>
    <x v="4"/>
    <n v="7.7000000000000002E-3"/>
  </r>
  <r>
    <x v="51"/>
    <x v="1"/>
    <x v="51"/>
    <s v="$0.7292"/>
    <x v="1"/>
    <n v="8.9999999999999998E-4"/>
    <s v="$62,825,935"/>
    <n v="62825935"/>
    <s v="$1,249,114"/>
    <n v="1249114"/>
    <s v="86.14M"/>
    <n v="0.72919999999999996"/>
    <n v="0.72854431012089127"/>
    <n v="6.5568987910868959E-4"/>
    <x v="1"/>
    <n v="0.72985687118406561"/>
    <n v="0.72985627999999991"/>
    <x v="1"/>
    <x v="1"/>
    <n v="8.9999999999999998E-4"/>
  </r>
  <r>
    <x v="52"/>
    <x v="0"/>
    <x v="52"/>
    <s v="$0.008040"/>
    <x v="1"/>
    <n v="5.1999999999999998E-3"/>
    <s v="$62,746,080"/>
    <n v="62746080"/>
    <s v="$5,327,551"/>
    <n v="5327551"/>
    <s v="7.8B"/>
    <n v="8.0400000000000003E-3"/>
    <n v="7.9984082769598078E-3"/>
    <n v="4.1591723040192499E-5"/>
    <x v="1"/>
    <n v="8.0820265379975883E-3"/>
    <n v="8.0818080000000011E-3"/>
    <x v="1"/>
    <x v="4"/>
    <n v="5.1999999999999998E-3"/>
  </r>
  <r>
    <x v="53"/>
    <x v="0"/>
    <x v="53"/>
    <s v="$0.07982"/>
    <x v="1"/>
    <n v="6.9999999999999999E-4"/>
    <s v="$62,547,790"/>
    <n v="62547790"/>
    <s v="$9,047,350"/>
    <n v="9047350"/>
    <s v="783.57M"/>
    <n v="7.9820000000000002E-2"/>
    <n v="7.9764165084440897E-2"/>
    <n v="5.5834915559105358E-5"/>
    <x v="1"/>
    <n v="7.9875913139197438E-2"/>
    <n v="7.9875873999999999E-2"/>
    <x v="1"/>
    <x v="2"/>
    <n v="6.9999999999999999E-4"/>
  </r>
  <r>
    <x v="54"/>
    <x v="0"/>
    <x v="54"/>
    <s v="$0.002927"/>
    <x v="1"/>
    <n v="8.0000000000000004E-4"/>
    <s v="$62,328,087"/>
    <n v="62328087"/>
    <s v="$2,058,149"/>
    <n v="2058149"/>
    <s v="21.29B"/>
    <n v="2.9269999999999999E-3"/>
    <n v="2.9246602717825742E-3"/>
    <n v="2.3397282174256705E-6"/>
    <x v="1"/>
    <n v="2.929343474779824E-3"/>
    <n v="2.9293415999999996E-3"/>
    <x v="1"/>
    <x v="4"/>
    <n v="8.0000000000000004E-4"/>
  </r>
  <r>
    <x v="55"/>
    <x v="1"/>
    <x v="55"/>
    <s v="$11.79"/>
    <x v="1"/>
    <n v="2.3999999999999998E-3"/>
    <s v="$62,064,898"/>
    <n v="62064898"/>
    <s v="$76,515"/>
    <n v="76515"/>
    <s v="5.26M"/>
    <n v="11.79"/>
    <n v="11.761771747805266"/>
    <n v="2.8228252194733017E-2"/>
    <x v="0"/>
    <n v="11.818364073777063"/>
    <n v="11.818295999999998"/>
    <x v="0"/>
    <x v="3"/>
    <n v="2.3999999999999998E-3"/>
  </r>
  <r>
    <x v="56"/>
    <x v="1"/>
    <x v="56"/>
    <s v="$0.1816"/>
    <x v="1"/>
    <n v="2.0999999999999999E-3"/>
    <s v="$61,786,840"/>
    <n v="61786840"/>
    <s v="$8,267,657"/>
    <n v="8267657"/>
    <s v="340.13M"/>
    <n v="0.18160000000000001"/>
    <n v="0.18121943917772679"/>
    <n v="3.8056082227322374E-4"/>
    <x v="1"/>
    <n v="0.18198216254133681"/>
    <n v="0.18198136000000001"/>
    <x v="1"/>
    <x v="2"/>
    <n v="2.0999999999999999E-3"/>
  </r>
  <r>
    <x v="57"/>
    <x v="0"/>
    <x v="57"/>
    <s v="$10.12"/>
    <x v="1"/>
    <n v="2.0999999999999999E-3"/>
    <s v="$61,648,001"/>
    <n v="61648001"/>
    <s v="$27,805,860"/>
    <n v="27805860"/>
    <s v="6.09M"/>
    <n v="10.119999999999999"/>
    <n v="10.098792535675083"/>
    <n v="2.1207464324916714E-2"/>
    <x v="0"/>
    <n v="10.141296723118549"/>
    <n v="10.141252"/>
    <x v="0"/>
    <x v="3"/>
    <n v="2.0999999999999999E-3"/>
  </r>
  <r>
    <x v="58"/>
    <x v="1"/>
    <x v="58"/>
    <s v="$0.005210"/>
    <x v="1"/>
    <n v="1.4E-3"/>
    <s v="$61,619,476"/>
    <n v="61619476"/>
    <s v="$213,098"/>
    <n v="213098"/>
    <s v="11.82B"/>
    <n v="5.2100000000000002E-3"/>
    <n v="5.2027161973237463E-3"/>
    <n v="7.2838026762538782E-6"/>
    <x v="1"/>
    <n v="5.2173042259162829E-3"/>
    <n v="5.2172940000000008E-3"/>
    <x v="1"/>
    <x v="4"/>
    <n v="1.4E-3"/>
  </r>
  <r>
    <x v="59"/>
    <x v="1"/>
    <x v="59"/>
    <s v="$2.17"/>
    <x v="1"/>
    <n v="3.0999999999999999E-3"/>
    <s v="$61,481,343"/>
    <n v="61481343"/>
    <s v="$2,564,140"/>
    <n v="2564140"/>
    <s v="28.3M"/>
    <n v="2.17"/>
    <n v="2.1632937892533146"/>
    <n v="6.7062107466853149E-3"/>
    <x v="1"/>
    <n v="2.1767479185474969"/>
    <n v="2.1767270000000001"/>
    <x v="1"/>
    <x v="1"/>
    <n v="3.0999999999999999E-3"/>
  </r>
  <r>
    <x v="60"/>
    <x v="1"/>
    <x v="60"/>
    <s v="$0.6727"/>
    <x v="1"/>
    <n v="1.2999999999999999E-2"/>
    <s v="$45,704,968"/>
    <n v="45704968"/>
    <s v="$35,491"/>
    <n v="35491"/>
    <s v="67.93M"/>
    <n v="0.67269999999999996"/>
    <n v="0.66406712734452122"/>
    <n v="8.6328726554787405E-3"/>
    <x v="1"/>
    <n v="0.68156028368794319"/>
    <n v="0.68144509999999991"/>
    <x v="1"/>
    <x v="1"/>
    <n v="1.2999999999999999E-2"/>
  </r>
  <r>
    <x v="61"/>
    <x v="1"/>
    <x v="61"/>
    <s v="$0.007354"/>
    <x v="1"/>
    <n v="0"/>
    <s v="$45,421,680"/>
    <n v="45421680"/>
    <s v="$758,766"/>
    <n v="758766"/>
    <s v="6.17B"/>
    <n v="7.3540000000000003E-3"/>
    <n v="7.3540000000000003E-3"/>
    <n v="0"/>
    <x v="1"/>
    <n v="7.3540000000000003E-3"/>
    <n v="7.3540000000000003E-3"/>
    <x v="1"/>
    <x v="4"/>
    <n v="0"/>
  </r>
  <r>
    <x v="62"/>
    <x v="0"/>
    <x v="62"/>
    <s v="$0.02359"/>
    <x v="1"/>
    <n v="1.6000000000000001E-3"/>
    <s v="$45,403,740"/>
    <n v="45403740"/>
    <s v="$10,853,972"/>
    <n v="10853972"/>
    <s v="1.92B"/>
    <n v="2.359E-2"/>
    <n v="2.3552316293929711E-2"/>
    <n v="3.7683706070289202E-5"/>
    <x v="1"/>
    <n v="2.3627804487179487E-2"/>
    <n v="2.3627744000000003E-2"/>
    <x v="1"/>
    <x v="4"/>
    <n v="1.6000000000000001E-3"/>
  </r>
  <r>
    <x v="63"/>
    <x v="0"/>
    <x v="63"/>
    <s v="$0.06741"/>
    <x v="1"/>
    <n v="1.1900000000000001E-2"/>
    <s v="$45,353,098"/>
    <n v="45353098"/>
    <s v="$19,016,000"/>
    <n v="19016000"/>
    <s v="672.7M"/>
    <n v="6.7409999999999998E-2"/>
    <n v="6.6617254669433731E-2"/>
    <n v="7.9274533056626628E-4"/>
    <x v="1"/>
    <n v="6.8221839894747491E-2"/>
    <n v="6.8212178999999998E-2"/>
    <x v="1"/>
    <x v="2"/>
    <n v="1.1900000000000001E-2"/>
  </r>
  <r>
    <x v="64"/>
    <x v="0"/>
    <x v="64"/>
    <s v="$0.2525"/>
    <x v="1"/>
    <n v="2.3999999999999998E-3"/>
    <s v="$45,266,206"/>
    <n v="45266206"/>
    <s v="$339,268"/>
    <n v="339268"/>
    <s v="179.2M"/>
    <n v="0.2525"/>
    <n v="0.2518954509177973"/>
    <n v="6.0454908220269887E-4"/>
    <x v="1"/>
    <n v="0.2531074578989575"/>
    <n v="0.253106"/>
    <x v="1"/>
    <x v="2"/>
    <n v="2.3999999999999998E-3"/>
  </r>
  <r>
    <x v="65"/>
    <x v="1"/>
    <x v="65"/>
    <s v="$0.01237"/>
    <x v="1"/>
    <n v="5.8999999999999999E-3"/>
    <s v="$45,071,702"/>
    <n v="45071702"/>
    <s v="$10,189,722"/>
    <n v="10189722"/>
    <s v="3.64B"/>
    <n v="1.2370000000000001E-2"/>
    <n v="1.2297445074063029E-2"/>
    <n v="7.2554925936971909E-5"/>
    <x v="1"/>
    <n v="1.2443416155316368E-2"/>
    <n v="1.2442983000000001E-2"/>
    <x v="1"/>
    <x v="4"/>
    <n v="5.8999999999999999E-3"/>
  </r>
  <r>
    <x v="66"/>
    <x v="1"/>
    <x v="66"/>
    <s v="$0.4205"/>
    <x v="1"/>
    <n v="4.4999999999999997E-3"/>
    <s v="$45,027,836"/>
    <n v="45027836"/>
    <s v="$401,821"/>
    <n v="401821"/>
    <s v="107.05M"/>
    <n v="0.42049999999999998"/>
    <n v="0.4186162269785963"/>
    <n v="1.8837730214036896E-3"/>
    <x v="1"/>
    <n v="0.42240080361627319"/>
    <n v="0.42239224999999997"/>
    <x v="1"/>
    <x v="2"/>
    <n v="4.4999999999999997E-3"/>
  </r>
  <r>
    <x v="67"/>
    <x v="1"/>
    <x v="67"/>
    <s v="$0.4502"/>
    <x v="1"/>
    <n v="1E-4"/>
    <s v="$44,873,234"/>
    <n v="44873234"/>
    <s v="N/A"/>
    <e v="#VALUE!"/>
    <s v="99.66M"/>
    <n v="0.45019999999999999"/>
    <n v="0.45015498450154984"/>
    <n v="4.5015498450151625E-5"/>
    <x v="1"/>
    <n v="0.45024502450245024"/>
    <n v="0.45024502"/>
    <x v="1"/>
    <x v="2"/>
    <n v="1E-4"/>
  </r>
  <r>
    <x v="68"/>
    <x v="1"/>
    <x v="68"/>
    <s v="$1.01"/>
    <x v="1"/>
    <n v="4.0000000000000001E-3"/>
    <s v="$44,872,405"/>
    <n v="44872405"/>
    <s v="$10,068,683"/>
    <n v="10068683"/>
    <s v="44.05M"/>
    <n v="1.01"/>
    <n v="1.0059760956175299"/>
    <n v="4.0239043824701337E-3"/>
    <x v="1"/>
    <n v="1.0140562248995983"/>
    <n v="1.0140400000000001"/>
    <x v="1"/>
    <x v="1"/>
    <n v="4.0000000000000001E-3"/>
  </r>
  <r>
    <x v="69"/>
    <x v="1"/>
    <x v="69"/>
    <s v="$0.2490"/>
    <x v="1"/>
    <n v="3.0999999999999999E-3"/>
    <s v="$44,330,157"/>
    <n v="44330157"/>
    <s v="$68,082,352"/>
    <n v="68082352"/>
    <s v="177.96M"/>
    <n v="0.249"/>
    <n v="0.24823048549496557"/>
    <n v="7.6951450503442986E-4"/>
    <x v="1"/>
    <n v="0.24977430033102618"/>
    <n v="0.24977190000000002"/>
    <x v="1"/>
    <x v="2"/>
    <n v="3.0999999999999999E-3"/>
  </r>
  <r>
    <x v="70"/>
    <x v="1"/>
    <x v="70"/>
    <s v="$0.1618"/>
    <x v="1"/>
    <n v="2.9999999999999997E-4"/>
    <s v="$35,354,744"/>
    <n v="35354744"/>
    <s v="$121,069"/>
    <n v="121069"/>
    <s v="218.43M"/>
    <n v="0.1618"/>
    <n v="0.16175147455763272"/>
    <n v="4.8525442367275406E-5"/>
    <x v="1"/>
    <n v="0.1618485545663699"/>
    <n v="0.16184853999999999"/>
    <x v="1"/>
    <x v="2"/>
    <n v="2.9999999999999997E-4"/>
  </r>
  <r>
    <x v="32"/>
    <x v="1"/>
    <x v="71"/>
    <s v="$0.1431"/>
    <x v="1"/>
    <n v="7.9000000000000008E-3"/>
    <s v="$35,264,904"/>
    <n v="35264904"/>
    <s v="$7,857,060"/>
    <n v="7857060"/>
    <s v="246.36M"/>
    <n v="0.1431"/>
    <n v="0.14197837087012602"/>
    <n v="1.1216291298739856E-3"/>
    <x v="1"/>
    <n v="0.14423949198669489"/>
    <n v="0.14423049000000002"/>
    <x v="1"/>
    <x v="2"/>
    <n v="7.9000000000000008E-3"/>
  </r>
  <r>
    <x v="71"/>
    <x v="1"/>
    <x v="72"/>
    <s v="$0.02046"/>
    <x v="1"/>
    <n v="1.1999999999999999E-3"/>
    <s v="$35,141,644"/>
    <n v="35141644"/>
    <s v="$129,282"/>
    <n v="129282"/>
    <s v="1.71B"/>
    <n v="2.0459999999999999E-2"/>
    <n v="2.0435477427087491E-2"/>
    <n v="2.4522572912508145E-5"/>
    <x v="1"/>
    <n v="2.0484581497797357E-2"/>
    <n v="2.0484552E-2"/>
    <x v="1"/>
    <x v="4"/>
    <n v="1.1999999999999999E-3"/>
  </r>
  <r>
    <x v="72"/>
    <x v="0"/>
    <x v="73"/>
    <s v="$0.03011"/>
    <x v="1"/>
    <n v="2.5000000000000001E-3"/>
    <s v="$35,138,416"/>
    <n v="35138416"/>
    <s v="$5,538,677"/>
    <n v="5538677"/>
    <s v="1.16B"/>
    <n v="3.0110000000000001E-2"/>
    <n v="3.0034912718204493E-2"/>
    <n v="7.5087281795508526E-5"/>
    <x v="1"/>
    <n v="3.0185463659147871E-2"/>
    <n v="3.0185275000000001E-2"/>
    <x v="1"/>
    <x v="4"/>
    <n v="2.5000000000000001E-3"/>
  </r>
  <r>
    <x v="73"/>
    <x v="1"/>
    <x v="74"/>
    <s v="$0.8987"/>
    <x v="1"/>
    <n v="8.9999999999999993E-3"/>
    <s v="$35,080,411"/>
    <n v="35080411"/>
    <s v="$9,778,739"/>
    <n v="9778739"/>
    <s v="39.03M"/>
    <n v="0.89870000000000005"/>
    <n v="0.89068384539147682"/>
    <n v="8.0161546085232294E-3"/>
    <x v="1"/>
    <n v="0.90686175580222006"/>
    <n v="0.90678829999999999"/>
    <x v="1"/>
    <x v="1"/>
    <n v="8.9999999999999993E-3"/>
  </r>
  <r>
    <x v="74"/>
    <x v="1"/>
    <x v="75"/>
    <s v="$0.1125"/>
    <x v="1"/>
    <n v="6.6E-3"/>
    <s v="$35,034,139"/>
    <n v="35034139"/>
    <s v="$50,371,789"/>
    <n v="50371789"/>
    <s v="311.3M"/>
    <n v="0.1125"/>
    <n v="0.11176236836876616"/>
    <n v="7.3763163123384545E-4"/>
    <x v="1"/>
    <n v="0.11324743305818402"/>
    <n v="0.1132425"/>
    <x v="1"/>
    <x v="2"/>
    <n v="6.6E-3"/>
  </r>
  <r>
    <x v="75"/>
    <x v="1"/>
    <x v="76"/>
    <s v="$0.006097"/>
    <x v="1"/>
    <n v="1.4E-3"/>
    <s v="$34,972,612"/>
    <n v="34972612"/>
    <s v="$1,391,859"/>
    <n v="1391859"/>
    <s v="5.73B"/>
    <n v="6.097E-3"/>
    <n v="6.0884761334132212E-3"/>
    <n v="8.5238665867787625E-6"/>
    <x v="1"/>
    <n v="6.105547766873623E-3"/>
    <n v="6.1055358000000007E-3"/>
    <x v="1"/>
    <x v="4"/>
    <n v="1.4E-3"/>
  </r>
  <r>
    <x v="76"/>
    <x v="0"/>
    <x v="77"/>
    <s v="$1.23"/>
    <x v="1"/>
    <n v="2.0000000000000001E-4"/>
    <s v="$34,798,359"/>
    <n v="34798359"/>
    <s v="$75,600"/>
    <n v="75600"/>
    <s v="28.27M"/>
    <n v="1.23"/>
    <n v="1.229754049190162"/>
    <n v="2.4595080983802475E-4"/>
    <x v="1"/>
    <n v="1.2302460492098419"/>
    <n v="1.230246"/>
    <x v="1"/>
    <x v="1"/>
    <n v="2.0000000000000001E-4"/>
  </r>
  <r>
    <x v="77"/>
    <x v="0"/>
    <x v="78"/>
    <s v="$0.02275"/>
    <x v="1"/>
    <n v="1.9E-3"/>
    <s v="$34,575,104"/>
    <n v="34575104"/>
    <s v="$18,844,509"/>
    <n v="18844509"/>
    <s v="1.51B"/>
    <n v="2.2749999999999999E-2"/>
    <n v="2.2706856971753668E-2"/>
    <n v="4.3143028246331316E-5"/>
    <x v="1"/>
    <n v="2.2793307283839295E-2"/>
    <n v="2.2793225E-2"/>
    <x v="1"/>
    <x v="4"/>
    <n v="1.9E-3"/>
  </r>
  <r>
    <x v="78"/>
    <x v="1"/>
    <x v="79"/>
    <s v="$0.03687"/>
    <x v="1"/>
    <n v="7.1999999999999998E-3"/>
    <s v="$34,508,739"/>
    <n v="34508739"/>
    <s v="$8,324,722"/>
    <n v="8324722"/>
    <s v="935.81M"/>
    <n v="3.687E-2"/>
    <n v="3.6606433677521838E-2"/>
    <n v="2.6356632247816203E-4"/>
    <x v="1"/>
    <n v="3.7137389202256246E-2"/>
    <n v="3.7135464000000007E-2"/>
    <x v="1"/>
    <x v="4"/>
    <n v="7.1999999999999998E-3"/>
  </r>
  <r>
    <x v="79"/>
    <x v="1"/>
    <x v="80"/>
    <s v="$0.03186"/>
    <x v="1"/>
    <n v="2.1600000000000001E-2"/>
    <s v="$26,070,319"/>
    <n v="26070319"/>
    <s v="$467,706"/>
    <n v="467706"/>
    <s v="818.17M"/>
    <n v="3.1859999999999999E-2"/>
    <n v="3.118637431480031E-2"/>
    <n v="6.7362568519968927E-4"/>
    <x v="1"/>
    <n v="3.2563368765331148E-2"/>
    <n v="3.2548175999999998E-2"/>
    <x v="1"/>
    <x v="4"/>
    <n v="2.1600000000000001E-2"/>
  </r>
  <r>
    <x v="80"/>
    <x v="1"/>
    <x v="81"/>
    <s v="$0.003897"/>
    <x v="1"/>
    <n v="1.5900000000000001E-2"/>
    <s v="$26,014,561"/>
    <n v="26014561"/>
    <s v="$6,727,701"/>
    <n v="6727701"/>
    <s v="6.67B"/>
    <n v="3.8969999999999999E-3"/>
    <n v="3.8360074810512845E-3"/>
    <n v="6.0992518948715328E-5"/>
    <x v="1"/>
    <n v="3.9599634183517937E-3"/>
    <n v="3.9589622999999996E-3"/>
    <x v="1"/>
    <x v="4"/>
    <n v="1.5900000000000001E-2"/>
  </r>
  <r>
    <x v="81"/>
    <x v="0"/>
    <x v="82"/>
    <s v="$0.6222"/>
    <x v="1"/>
    <n v="6.7000000000000002E-3"/>
    <s v="$25,922,954"/>
    <n v="25922954"/>
    <s v="$9,982,050"/>
    <n v="9982050"/>
    <s v="41.65M"/>
    <n v="0.62219999999999998"/>
    <n v="0.61805900466871955"/>
    <n v="4.1409953312804282E-3"/>
    <x v="1"/>
    <n v="0.62639685895499853"/>
    <n v="0.62636873999999998"/>
    <x v="1"/>
    <x v="1"/>
    <n v="6.7000000000000002E-3"/>
  </r>
  <r>
    <x v="82"/>
    <x v="0"/>
    <x v="83"/>
    <s v="$0.076150"/>
    <x v="1"/>
    <n v="3.7000000000000002E-3"/>
    <s v="$25,873,467"/>
    <n v="25873467"/>
    <s v="$11,510,400"/>
    <n v="11510400"/>
    <s v="420.69T"/>
    <n v="7.6149999999999995E-2"/>
    <n v="7.5869283650493169E-2"/>
    <n v="2.8071634950682656E-4"/>
    <x v="1"/>
    <n v="7.6432801365050693E-2"/>
    <n v="7.6431755000000004E-2"/>
    <x v="1"/>
    <x v="2"/>
    <n v="3.7000000000000002E-3"/>
  </r>
  <r>
    <x v="83"/>
    <x v="0"/>
    <x v="84"/>
    <s v="$0.02106"/>
    <x v="1"/>
    <n v="5.0000000000000001E-3"/>
    <s v="$25,788,064"/>
    <n v="25788064"/>
    <s v="$1,225,263"/>
    <n v="1225263"/>
    <s v="1.22B"/>
    <n v="2.1059999999999999E-2"/>
    <n v="2.0955223880597017E-2"/>
    <n v="1.0477611940298143E-4"/>
    <x v="1"/>
    <n v="2.1165829145728642E-2"/>
    <n v="2.1165299999999998E-2"/>
    <x v="1"/>
    <x v="4"/>
    <n v="5.0000000000000001E-3"/>
  </r>
  <r>
    <x v="84"/>
    <x v="1"/>
    <x v="85"/>
    <s v="$0.02575"/>
    <x v="1"/>
    <n v="1.09E-2"/>
    <s v="$25,759,341"/>
    <n v="25759341"/>
    <s v="$2,642,277"/>
    <n v="2642277"/>
    <s v="1B"/>
    <n v="2.5749999999999999E-2"/>
    <n v="2.5472351370066277E-2"/>
    <n v="2.7764862993372164E-4"/>
    <x v="1"/>
    <n v="2.6033768071984632E-2"/>
    <n v="2.6030674999999996E-2"/>
    <x v="1"/>
    <x v="4"/>
    <n v="1.09E-2"/>
  </r>
  <r>
    <x v="85"/>
    <x v="0"/>
    <x v="86"/>
    <s v="$0.1085"/>
    <x v="1"/>
    <n v="0"/>
    <s v="$25,730,460"/>
    <n v="25730460"/>
    <s v="$64,349"/>
    <n v="64349"/>
    <s v="236.99M"/>
    <n v="0.1085"/>
    <n v="0.1085"/>
    <n v="0"/>
    <x v="1"/>
    <n v="0.1085"/>
    <n v="0.1085"/>
    <x v="1"/>
    <x v="2"/>
    <n v="0"/>
  </r>
  <r>
    <x v="86"/>
    <x v="0"/>
    <x v="87"/>
    <s v="$0.09556"/>
    <x v="1"/>
    <n v="9.1999999999999998E-3"/>
    <s v="$25,696,932"/>
    <n v="25696932"/>
    <s v="$1,704,625"/>
    <n v="1704625"/>
    <s v="268.88M"/>
    <n v="9.5560000000000006E-2"/>
    <n v="9.468886246531906E-2"/>
    <n v="8.7113753468094635E-4"/>
    <x v="1"/>
    <n v="9.6447315300767056E-2"/>
    <n v="9.6439152000000014E-2"/>
    <x v="1"/>
    <x v="2"/>
    <n v="9.1999999999999998E-3"/>
  </r>
  <r>
    <x v="87"/>
    <x v="1"/>
    <x v="88"/>
    <s v="$0.02550"/>
    <x v="1"/>
    <n v="5.9999999999999995E-4"/>
    <s v="$25,507,544"/>
    <n v="25507544"/>
    <s v="$5,524,554"/>
    <n v="5524554"/>
    <s v="999.97M"/>
    <n v="2.5499999999999998E-2"/>
    <n v="2.5484709174495301E-2"/>
    <n v="1.5290825504696987E-5"/>
    <x v="1"/>
    <n v="2.5515309185511308E-2"/>
    <n v="2.5515299999999998E-2"/>
    <x v="1"/>
    <x v="4"/>
    <n v="5.9999999999999995E-4"/>
  </r>
  <r>
    <x v="88"/>
    <x v="0"/>
    <x v="89"/>
    <s v="$0.8529"/>
    <x v="1"/>
    <n v="1.2999999999999999E-3"/>
    <s v="$25,471,481"/>
    <n v="25471481"/>
    <s v="$43,405"/>
    <n v="43405"/>
    <s v="29.86M"/>
    <n v="0.85289999999999999"/>
    <n v="0.85179266952961141"/>
    <n v="1.1073304703885789E-3"/>
    <x v="1"/>
    <n v="0.85401021327726045"/>
    <n v="0.85400877000000008"/>
    <x v="1"/>
    <x v="1"/>
    <n v="1.2999999999999999E-3"/>
  </r>
  <r>
    <x v="89"/>
    <x v="1"/>
    <x v="90"/>
    <s v="$0.9988"/>
    <x v="1"/>
    <n v="2.9999999999999997E-4"/>
    <s v="$18,990,853"/>
    <n v="18990853"/>
    <s v="$228,239"/>
    <n v="228239"/>
    <s v="19.01M"/>
    <n v="0.99880000000000002"/>
    <n v="0.9985004498650405"/>
    <n v="2.9955013495952532E-4"/>
    <x v="1"/>
    <n v="0.99909972991897567"/>
    <n v="0.99909963999999996"/>
    <x v="1"/>
    <x v="1"/>
    <n v="2.9999999999999997E-4"/>
  </r>
  <r>
    <x v="90"/>
    <x v="0"/>
    <x v="91"/>
    <s v="$0.03792"/>
    <x v="1"/>
    <n v="0"/>
    <s v="$18,961,083"/>
    <n v="18961083"/>
    <s v="$706,323"/>
    <n v="706323"/>
    <s v="500M"/>
    <n v="3.7920000000000002E-2"/>
    <n v="3.7920000000000002E-2"/>
    <n v="0"/>
    <x v="1"/>
    <n v="3.7920000000000002E-2"/>
    <n v="3.7920000000000002E-2"/>
    <x v="1"/>
    <x v="4"/>
    <n v="0"/>
  </r>
  <r>
    <x v="91"/>
    <x v="0"/>
    <x v="92"/>
    <s v="$0.02001"/>
    <x v="1"/>
    <n v="2.9999999999999997E-4"/>
    <s v="$18,957,669"/>
    <n v="18957669"/>
    <s v="$357,326"/>
    <n v="357326"/>
    <s v="946.97M"/>
    <n v="2.001E-2"/>
    <n v="2.0003998800359891E-2"/>
    <n v="6.0011996401085343E-6"/>
    <x v="1"/>
    <n v="2.0016004801440432E-2"/>
    <n v="2.0016003000000001E-2"/>
    <x v="1"/>
    <x v="4"/>
    <n v="2.9999999999999997E-4"/>
  </r>
  <r>
    <x v="92"/>
    <x v="0"/>
    <x v="93"/>
    <s v="$0.08172"/>
    <x v="1"/>
    <n v="5.1999999999999998E-3"/>
    <s v="$18,817,231"/>
    <n v="18817231"/>
    <s v="$5,622,803"/>
    <n v="5622803"/>
    <s v="230.25M"/>
    <n v="8.1720000000000001E-2"/>
    <n v="8.1297254277755665E-2"/>
    <n v="4.2274572224433593E-4"/>
    <x v="1"/>
    <n v="8.2147165259348606E-2"/>
    <n v="8.2144944000000011E-2"/>
    <x v="1"/>
    <x v="2"/>
    <n v="5.1999999999999998E-3"/>
  </r>
  <r>
    <x v="93"/>
    <x v="1"/>
    <x v="94"/>
    <s v="$0.005502"/>
    <x v="1"/>
    <n v="1.06E-2"/>
    <s v="$18,668,308"/>
    <n v="18668308"/>
    <s v="$181,555"/>
    <n v="181555"/>
    <s v="3.39B"/>
    <n v="5.5019999999999999E-3"/>
    <n v="5.4442905204828817E-3"/>
    <n v="5.7709479517118259E-5"/>
    <x v="1"/>
    <n v="5.5609460278956942E-3"/>
    <n v="5.5603211999999992E-3"/>
    <x v="1"/>
    <x v="4"/>
    <n v="1.06E-2"/>
  </r>
  <r>
    <x v="94"/>
    <x v="1"/>
    <x v="95"/>
    <s v="$0.03889"/>
    <x v="1"/>
    <n v="0"/>
    <s v="$18,667,205"/>
    <n v="18667205"/>
    <s v="$1,002"/>
    <n v="1002"/>
    <s v="479.99M"/>
    <n v="3.8890000000000001E-2"/>
    <n v="3.8890000000000001E-2"/>
    <n v="0"/>
    <x v="1"/>
    <n v="3.8890000000000001E-2"/>
    <n v="3.8890000000000001E-2"/>
    <x v="1"/>
    <x v="4"/>
    <n v="0"/>
  </r>
  <r>
    <x v="95"/>
    <x v="0"/>
    <x v="96"/>
    <s v="$0.009370"/>
    <x v="1"/>
    <n v="4.0000000000000002E-4"/>
    <s v="$18,606,007"/>
    <n v="18606007"/>
    <s v="$189,918"/>
    <n v="189918"/>
    <s v="1.98B"/>
    <n v="9.3699999999999999E-3"/>
    <n v="9.3662534986005599E-3"/>
    <n v="3.7465013994399804E-6"/>
    <x v="1"/>
    <n v="9.3737494997999191E-3"/>
    <n v="9.3737479999999995E-3"/>
    <x v="1"/>
    <x v="4"/>
    <n v="4.0000000000000002E-4"/>
  </r>
  <r>
    <x v="96"/>
    <x v="0"/>
    <x v="97"/>
    <s v="$0.06639"/>
    <x v="1"/>
    <n v="6.9999999999999999E-4"/>
    <s v="$18,591,856"/>
    <n v="18591856"/>
    <s v="$4,765,140"/>
    <n v="4765140"/>
    <s v="280M"/>
    <n v="6.6390000000000005E-2"/>
    <n v="6.6343559508344169E-2"/>
    <n v="4.6440491655835858E-5"/>
    <x v="1"/>
    <n v="6.6436505553887734E-2"/>
    <n v="6.6436472999999996E-2"/>
    <x v="1"/>
    <x v="2"/>
    <n v="6.9999999999999999E-4"/>
  </r>
  <r>
    <x v="97"/>
    <x v="1"/>
    <x v="98"/>
    <s v="$0.02178"/>
    <x v="1"/>
    <n v="7.7000000000000002E-3"/>
    <s v="$18,540,898"/>
    <n v="18540898"/>
    <s v="$4,492,892"/>
    <n v="4492892"/>
    <s v="850.96M"/>
    <n v="2.1780000000000001E-2"/>
    <n v="2.1613575468889552E-2"/>
    <n v="1.6642453111044911E-4"/>
    <x v="1"/>
    <n v="2.1949007356646177E-2"/>
    <n v="2.1947706000000001E-2"/>
    <x v="1"/>
    <x v="4"/>
    <n v="7.7000000000000002E-3"/>
  </r>
  <r>
    <x v="98"/>
    <x v="0"/>
    <x v="99"/>
    <s v="$16.85"/>
    <x v="1"/>
    <n v="5.0000000000000001E-3"/>
    <s v="$18,536,240"/>
    <n v="18536240"/>
    <s v="$119,734"/>
    <n v="119734"/>
    <s v="1.1M"/>
    <n v="16.850000000000001"/>
    <n v="16.766169154228859"/>
    <n v="8.3830845771142748E-2"/>
    <x v="0"/>
    <n v="16.934673366834172"/>
    <n v="16.934249999999999"/>
    <x v="0"/>
    <x v="3"/>
    <n v="5.0000000000000001E-3"/>
  </r>
  <r>
    <x v="99"/>
    <x v="1"/>
    <x v="100"/>
    <s v="$0.1108"/>
    <x v="1"/>
    <n v="1.04E-2"/>
    <s v="$14,785,022"/>
    <n v="14785022"/>
    <s v="$32,485,149"/>
    <n v="32485149"/>
    <s v="133.39M"/>
    <n v="0.1108"/>
    <n v="0.10965954077593032"/>
    <n v="1.1404592240696759E-3"/>
    <x v="1"/>
    <n v="0.11196443007275667"/>
    <n v="0.11195231999999999"/>
    <x v="1"/>
    <x v="2"/>
    <n v="1.04E-2"/>
  </r>
  <r>
    <x v="100"/>
    <x v="1"/>
    <x v="101"/>
    <s v="$0.007013"/>
    <x v="1"/>
    <n v="4.5999999999999999E-3"/>
    <s v="$14,719,301"/>
    <n v="14719301"/>
    <s v="$138"/>
    <n v="138"/>
    <s v="2.09B"/>
    <n v="7.0130000000000001E-3"/>
    <n v="6.9808879155882943E-3"/>
    <n v="3.2112084411705863E-5"/>
    <x v="1"/>
    <n v="7.0454088808519196E-3"/>
    <n v="7.0452597999999993E-3"/>
    <x v="1"/>
    <x v="4"/>
    <n v="4.5999999999999999E-3"/>
  </r>
  <r>
    <x v="101"/>
    <x v="1"/>
    <x v="102"/>
    <s v="$0.0003612"/>
    <x v="1"/>
    <n v="1.1000000000000001E-3"/>
    <s v="$14,681,529"/>
    <n v="14681529"/>
    <s v="$499,518"/>
    <n v="499518"/>
    <s v="40.64B"/>
    <n v="3.612E-4"/>
    <n v="3.6080311657177099E-4"/>
    <n v="3.968834282290089E-7"/>
    <x v="1"/>
    <n v="3.615977575332866E-4"/>
    <n v="3.6159732000000004E-4"/>
    <x v="1"/>
    <x v="4"/>
    <n v="1.1000000000000001E-3"/>
  </r>
  <r>
    <x v="102"/>
    <x v="1"/>
    <x v="103"/>
    <s v="$0.0002118"/>
    <x v="1"/>
    <n v="5.1999999999999998E-3"/>
    <s v="$14,616,635"/>
    <n v="14616635"/>
    <s v="$6,112,676"/>
    <n v="6112676"/>
    <s v="69B"/>
    <n v="2.118E-4"/>
    <n v="2.107043374452845E-4"/>
    <n v="1.0956625547154937E-6"/>
    <x v="1"/>
    <n v="2.129071170084439E-4"/>
    <n v="2.1290136000000001E-4"/>
    <x v="1"/>
    <x v="4"/>
    <n v="5.1999999999999998E-3"/>
  </r>
  <r>
    <x v="103"/>
    <x v="1"/>
    <x v="104"/>
    <s v="$0.03322"/>
    <x v="1"/>
    <n v="0"/>
    <s v="$14,606,826"/>
    <n v="14606826"/>
    <s v="$4,251,361"/>
    <n v="4251361"/>
    <s v="439.65M"/>
    <n v="3.322E-2"/>
    <n v="3.322E-2"/>
    <n v="0"/>
    <x v="1"/>
    <n v="3.322E-2"/>
    <n v="3.322E-2"/>
    <x v="1"/>
    <x v="4"/>
    <n v="0"/>
  </r>
  <r>
    <x v="104"/>
    <x v="1"/>
    <x v="105"/>
    <s v="$0.02987"/>
    <x v="1"/>
    <n v="1E-4"/>
    <s v="$14,570,562"/>
    <n v="14570562"/>
    <s v="$316,134"/>
    <n v="316134"/>
    <s v="487.69M"/>
    <n v="2.9870000000000001E-2"/>
    <n v="2.9867013298670135E-2"/>
    <n v="2.9867013298656708E-6"/>
    <x v="1"/>
    <n v="2.9872987298729874E-2"/>
    <n v="2.9872987E-2"/>
    <x v="1"/>
    <x v="4"/>
    <n v="1E-4"/>
  </r>
  <r>
    <x v="105"/>
    <x v="1"/>
    <x v="106"/>
    <s v="$0.071613"/>
    <x v="1"/>
    <n v="4.1000000000000003E-3"/>
    <s v="$14,516,193"/>
    <n v="14516193"/>
    <s v="$542,805"/>
    <n v="542805"/>
    <s v="899.59T"/>
    <n v="7.1612999999999996E-2"/>
    <n v="7.1320585599043917E-2"/>
    <n v="2.9241440095607862E-4"/>
    <x v="1"/>
    <n v="7.1907822070489E-2"/>
    <n v="7.1906613299999991E-2"/>
    <x v="1"/>
    <x v="2"/>
    <n v="4.1000000000000003E-3"/>
  </r>
  <r>
    <x v="106"/>
    <x v="1"/>
    <x v="107"/>
    <s v="$0.01444"/>
    <x v="1"/>
    <n v="1.4E-3"/>
    <s v="$14,440,722"/>
    <n v="14440722"/>
    <s v="$1,406,872"/>
    <n v="1406872"/>
    <s v="999.99M"/>
    <n v="1.444E-2"/>
    <n v="1.4419812262832035E-2"/>
    <n v="2.0187737167965195E-5"/>
    <x v="1"/>
    <n v="1.4460244342078909E-2"/>
    <n v="1.4460216000000001E-2"/>
    <x v="1"/>
    <x v="4"/>
    <n v="1.4E-3"/>
  </r>
  <r>
    <x v="107"/>
    <x v="0"/>
    <x v="108"/>
    <s v="$0.1963"/>
    <x v="1"/>
    <n v="8.0999999999999996E-3"/>
    <s v="$14,425,837"/>
    <n v="14425837"/>
    <s v="$686,075"/>
    <n v="686075"/>
    <s v="73.46M"/>
    <n v="0.1963"/>
    <n v="0.19472274575934928"/>
    <n v="1.5772542406507217E-3"/>
    <x v="1"/>
    <n v="0.19790301441677588"/>
    <n v="0.19789002999999999"/>
    <x v="1"/>
    <x v="2"/>
    <n v="8.0999999999999996E-3"/>
  </r>
  <r>
    <x v="108"/>
    <x v="1"/>
    <x v="109"/>
    <s v="$0.01483"/>
    <x v="1"/>
    <n v="1.1999999999999999E-3"/>
    <s v="$14,389,863"/>
    <n v="14389863"/>
    <s v="$34,241"/>
    <n v="34241"/>
    <s v="969.99M"/>
    <n v="1.4829999999999999E-2"/>
    <n v="1.4812225329604472E-2"/>
    <n v="1.7774670395527201E-5"/>
    <x v="1"/>
    <n v="1.4847817380857027E-2"/>
    <n v="1.4847796E-2"/>
    <x v="1"/>
    <x v="4"/>
    <n v="1.1999999999999999E-3"/>
  </r>
  <r>
    <x v="109"/>
    <x v="0"/>
    <x v="110"/>
    <s v="$0.04302"/>
    <x v="1"/>
    <n v="2.8E-3"/>
    <s v="$11,345,859"/>
    <n v="11345859"/>
    <s v="$810,252"/>
    <n v="810252"/>
    <s v="263.73M"/>
    <n v="4.3020000000000003E-2"/>
    <n v="4.2899880335061834E-2"/>
    <n v="1.2011966493816889E-4"/>
    <x v="1"/>
    <n v="4.3140794223826717E-2"/>
    <n v="4.3140456000000001E-2"/>
    <x v="1"/>
    <x v="4"/>
    <n v="2.8E-3"/>
  </r>
  <r>
    <x v="110"/>
    <x v="0"/>
    <x v="111"/>
    <s v="$0.01686"/>
    <x v="1"/>
    <n v="1.0999999999999999E-2"/>
    <s v="$11,304,052"/>
    <n v="11304052"/>
    <s v="$8,799,764"/>
    <n v="8799764"/>
    <s v="670.18M"/>
    <n v="1.686E-2"/>
    <n v="1.6676557863501484E-2"/>
    <n v="1.8344213649851629E-4"/>
    <x v="1"/>
    <n v="1.7047522750252779E-2"/>
    <n v="1.7045459999999998E-2"/>
    <x v="1"/>
    <x v="4"/>
    <n v="1.0999999999999999E-2"/>
  </r>
  <r>
    <x v="111"/>
    <x v="1"/>
    <x v="112"/>
    <s v="$0.05637"/>
    <x v="1"/>
    <n v="5.0000000000000001E-4"/>
    <s v="$11,274,163"/>
    <n v="11274163"/>
    <s v="$6,405,267"/>
    <n v="6405267"/>
    <s v="200M"/>
    <n v="5.6370000000000003E-2"/>
    <n v="5.6341829085457276E-2"/>
    <n v="2.8170914542727243E-5"/>
    <x v="1"/>
    <n v="5.6398199099549774E-2"/>
    <n v="5.6398185000000003E-2"/>
    <x v="1"/>
    <x v="2"/>
    <n v="5.0000000000000001E-4"/>
  </r>
  <r>
    <x v="112"/>
    <x v="0"/>
    <x v="113"/>
    <s v="$0.3249"/>
    <x v="1"/>
    <n v="4.5999999999999999E-3"/>
    <s v="$11,243,721"/>
    <n v="11243721"/>
    <s v="$25,910"/>
    <n v="25910"/>
    <s v="34.59M"/>
    <n v="0.32490000000000002"/>
    <n v="0.32341230340434007"/>
    <n v="1.4876965956599486E-3"/>
    <x v="1"/>
    <n v="0.32640144665461124"/>
    <n v="0.32639454000000001"/>
    <x v="1"/>
    <x v="2"/>
    <n v="4.5999999999999999E-3"/>
  </r>
  <r>
    <x v="113"/>
    <x v="0"/>
    <x v="114"/>
    <s v="$0.1833"/>
    <x v="1"/>
    <n v="2.5999999999999999E-2"/>
    <s v="$11,181,505"/>
    <n v="11181505"/>
    <s v="$95,241"/>
    <n v="95241"/>
    <s v="60.97M"/>
    <n v="0.18329999999999999"/>
    <n v="0.1786549707602339"/>
    <n v="4.6450292397660908E-3"/>
    <x v="1"/>
    <n v="0.1881930184804928"/>
    <n v="0.18806580000000001"/>
    <x v="1"/>
    <x v="2"/>
    <n v="2.5999999999999999E-2"/>
  </r>
  <r>
    <x v="114"/>
    <x v="1"/>
    <x v="115"/>
    <s v="$0.01242"/>
    <x v="1"/>
    <n v="1.6400000000000001E-2"/>
    <s v="$11,184,297"/>
    <n v="11184297"/>
    <s v="$1,157,910"/>
    <n v="1157910"/>
    <s v="899.84M"/>
    <n v="1.242E-2"/>
    <n v="1.2219598583234948E-2"/>
    <n v="2.0040141676505238E-4"/>
    <x v="1"/>
    <n v="1.2627084180561203E-2"/>
    <n v="1.2623688000000001E-2"/>
    <x v="1"/>
    <x v="4"/>
    <n v="1.6400000000000001E-2"/>
  </r>
  <r>
    <x v="115"/>
    <x v="1"/>
    <x v="116"/>
    <s v="$0.004238"/>
    <x v="1"/>
    <n v="8.6999999999999994E-3"/>
    <s v="$11,144,288"/>
    <n v="11144288"/>
    <s v="$19,472"/>
    <n v="19472"/>
    <s v="2.62B"/>
    <n v="4.2379999999999996E-3"/>
    <n v="4.2014474075542773E-3"/>
    <n v="3.655259244572228E-5"/>
    <x v="1"/>
    <n v="4.2751941894481988E-3"/>
    <n v="4.2748705999999994E-3"/>
    <x v="1"/>
    <x v="4"/>
    <n v="8.6999999999999994E-3"/>
  </r>
  <r>
    <x v="116"/>
    <x v="1"/>
    <x v="117"/>
    <s v="$0.074502"/>
    <x v="1"/>
    <n v="5.1000000000000004E-3"/>
    <s v="$11,155,057"/>
    <n v="11155057"/>
    <s v="$233,918"/>
    <n v="233918"/>
    <s v="247.73T"/>
    <n v="7.4501999999999999E-2"/>
    <n v="7.4123967764401541E-2"/>
    <n v="3.7803223559845778E-4"/>
    <x v="1"/>
    <n v="7.4883907930445276E-2"/>
    <n v="7.48819602E-2"/>
    <x v="1"/>
    <x v="2"/>
    <n v="5.1000000000000004E-3"/>
  </r>
  <r>
    <x v="117"/>
    <x v="1"/>
    <x v="118"/>
    <s v="$0.2159"/>
    <x v="1"/>
    <n v="3.8E-3"/>
    <s v="$11,101,030"/>
    <n v="11101030"/>
    <s v="$105,278"/>
    <n v="105278"/>
    <s v="51.39M"/>
    <n v="0.21590000000000001"/>
    <n v="0.21508268579398288"/>
    <n v="8.1731420601713345E-4"/>
    <x v="1"/>
    <n v="0.21672354948805461"/>
    <n v="0.21672042000000002"/>
    <x v="1"/>
    <x v="2"/>
    <n v="3.8E-3"/>
  </r>
  <r>
    <x v="118"/>
    <x v="0"/>
    <x v="119"/>
    <s v="$0.0004861"/>
    <x v="1"/>
    <n v="9.1999999999999998E-3"/>
    <s v="$11,082,865"/>
    <n v="11082865"/>
    <s v="$8,599,503"/>
    <n v="8599503"/>
    <s v="22.79B"/>
    <n v="4.861E-4"/>
    <n v="4.8166864843440343E-4"/>
    <n v="4.4313515655965661E-6"/>
    <x v="1"/>
    <n v="4.9061364553895843E-4"/>
    <n v="4.9057212000000005E-4"/>
    <x v="1"/>
    <x v="4"/>
    <n v="9.1999999999999998E-3"/>
  </r>
  <r>
    <x v="119"/>
    <x v="1"/>
    <x v="120"/>
    <s v="$0.9993"/>
    <x v="1"/>
    <n v="5.0000000000000001E-4"/>
    <s v="$8,799,631"/>
    <n v="8799631"/>
    <s v="$50,214,459"/>
    <n v="50214459"/>
    <s v="8.8M"/>
    <n v="0.99929999999999997"/>
    <n v="0.99880059970014989"/>
    <n v="4.9940029985007239E-4"/>
    <x v="1"/>
    <n v="0.99979989994997487"/>
    <n v="0.99979964999999993"/>
    <x v="1"/>
    <x v="1"/>
    <n v="5.0000000000000001E-4"/>
  </r>
  <r>
    <x v="120"/>
    <x v="0"/>
    <x v="121"/>
    <s v="$3.38"/>
    <x v="1"/>
    <n v="8.9999999999999998E-4"/>
    <s v="$8,770,979"/>
    <n v="8770979"/>
    <s v="$10"/>
    <n v="10"/>
    <s v="2.59M"/>
    <n v="3.38"/>
    <n v="3.3769607353381961"/>
    <n v="3.0392646618038199E-3"/>
    <x v="1"/>
    <n v="3.3830447402662394"/>
    <n v="3.3830419999999997"/>
    <x v="1"/>
    <x v="1"/>
    <n v="8.9999999999999998E-4"/>
  </r>
  <r>
    <x v="121"/>
    <x v="1"/>
    <x v="122"/>
    <s v="$0.8940"/>
    <x v="1"/>
    <n v="3.7000000000000002E-3"/>
    <s v="$8,762,689"/>
    <n v="8762689"/>
    <s v="$1,784,357"/>
    <n v="1784357"/>
    <s v="9.8M"/>
    <n v="0.89400000000000002"/>
    <n v="0.89070439374315036"/>
    <n v="3.2956062568496591E-3"/>
    <x v="1"/>
    <n v="0.89732008431195431"/>
    <n v="0.8973078000000001"/>
    <x v="1"/>
    <x v="1"/>
    <n v="3.7000000000000002E-3"/>
  </r>
  <r>
    <x v="122"/>
    <x v="1"/>
    <x v="123"/>
    <s v="$0.008843"/>
    <x v="1"/>
    <n v="1.1299999999999999E-2"/>
    <s v="$8,757,334"/>
    <n v="8757334"/>
    <s v="$1,018,996"/>
    <n v="1018996"/>
    <s v="990.28M"/>
    <n v="8.8430000000000002E-3"/>
    <n v="8.7441906457035486E-3"/>
    <n v="9.8809354296451601E-5"/>
    <x v="1"/>
    <n v="8.9440679680388383E-3"/>
    <n v="8.9429259000000007E-3"/>
    <x v="1"/>
    <x v="4"/>
    <n v="1.1299999999999999E-2"/>
  </r>
  <r>
    <x v="123"/>
    <x v="1"/>
    <x v="124"/>
    <s v="$0.03631"/>
    <x v="1"/>
    <n v="1.4E-3"/>
    <s v="$8,738,652"/>
    <n v="8738652"/>
    <s v="$849,245"/>
    <n v="849245"/>
    <s v="240.6M"/>
    <n v="3.6310000000000002E-2"/>
    <n v="3.6259237068104654E-2"/>
    <n v="5.0762931895348418E-5"/>
    <x v="1"/>
    <n v="3.6360905267374323E-2"/>
    <n v="3.6360834000000002E-2"/>
    <x v="1"/>
    <x v="4"/>
    <n v="1.4E-3"/>
  </r>
  <r>
    <x v="124"/>
    <x v="0"/>
    <x v="125"/>
    <s v="$0.04564"/>
    <x v="1"/>
    <n v="2.3999999999999998E-3"/>
    <s v="$8,732,769"/>
    <n v="8732769"/>
    <s v="$31,161"/>
    <n v="31161"/>
    <s v="191.31M"/>
    <n v="4.564E-2"/>
    <n v="4.5530726256983241E-2"/>
    <n v="1.0927374301675924E-4"/>
    <x v="1"/>
    <n v="4.5749799518845224E-2"/>
    <n v="4.5749536E-2"/>
    <x v="1"/>
    <x v="4"/>
    <n v="2.3999999999999998E-3"/>
  </r>
  <r>
    <x v="125"/>
    <x v="1"/>
    <x v="126"/>
    <s v="$0.08713"/>
    <x v="1"/>
    <n v="6.1999999999999998E-3"/>
    <s v="$8,712,671"/>
    <n v="8712671"/>
    <s v="$260,752"/>
    <n v="260752"/>
    <s v="99.99M"/>
    <n v="8.7129999999999999E-2"/>
    <n v="8.6593122639634271E-2"/>
    <n v="5.3687736036572842E-4"/>
    <x v="1"/>
    <n v="8.7673576172268064E-2"/>
    <n v="8.7670206000000001E-2"/>
    <x v="1"/>
    <x v="2"/>
    <n v="6.1999999999999998E-3"/>
  </r>
  <r>
    <x v="126"/>
    <x v="1"/>
    <x v="127"/>
    <s v="$0.03952"/>
    <x v="1"/>
    <n v="4.1000000000000003E-3"/>
    <s v="$8,699,473"/>
    <n v="8699473"/>
    <s v="$7,734,230"/>
    <n v="7734230"/>
    <s v="220.1M"/>
    <n v="3.952E-2"/>
    <n v="3.9358629618563887E-2"/>
    <n v="1.6137038143611282E-4"/>
    <x v="1"/>
    <n v="3.9682699066171299E-2"/>
    <n v="3.9682031999999999E-2"/>
    <x v="1"/>
    <x v="4"/>
    <n v="4.1000000000000003E-3"/>
  </r>
  <r>
    <x v="127"/>
    <x v="1"/>
    <x v="128"/>
    <s v="$0.09871"/>
    <x v="1"/>
    <n v="4.3E-3"/>
    <s v="$8,669,853"/>
    <n v="8669853"/>
    <s v="$229,548"/>
    <n v="229548"/>
    <s v="87.82M"/>
    <n v="9.8710000000000006E-2"/>
    <n v="9.8287364333366531E-2"/>
    <n v="4.2263566663347518E-4"/>
    <x v="1"/>
    <n v="9.9136286029928702E-2"/>
    <n v="9.9134452999999997E-2"/>
    <x v="1"/>
    <x v="2"/>
    <n v="4.3E-3"/>
  </r>
  <r>
    <x v="128"/>
    <x v="1"/>
    <x v="129"/>
    <s v="$0.2912"/>
    <x v="1"/>
    <n v="4.3E-3"/>
    <s v="$8,662,826"/>
    <n v="8662826"/>
    <s v="$65,907"/>
    <n v="65907"/>
    <s v="29.74M"/>
    <n v="0.29120000000000001"/>
    <n v="0.28995320123469087"/>
    <n v="1.2467987653091428E-3"/>
    <x v="1"/>
    <n v="0.29245756754042385"/>
    <n v="0.29245216000000002"/>
    <x v="1"/>
    <x v="2"/>
    <n v="4.3E-3"/>
  </r>
  <r>
    <x v="129"/>
    <x v="1"/>
    <x v="130"/>
    <s v="$0.7020"/>
    <x v="1"/>
    <n v="0"/>
    <s v="$7,020,264"/>
    <n v="7020264"/>
    <s v="N/A"/>
    <e v="#VALUE!"/>
    <s v="10M"/>
    <n v="0.70199999999999996"/>
    <n v="0.70199999999999996"/>
    <n v="0"/>
    <x v="1"/>
    <n v="0.70199999999999996"/>
    <n v="0.70199999999999996"/>
    <x v="1"/>
    <x v="1"/>
    <n v="0"/>
  </r>
  <r>
    <x v="130"/>
    <x v="1"/>
    <x v="131"/>
    <s v="$0.02555"/>
    <x v="1"/>
    <n v="2.0000000000000001E-4"/>
    <s v="$7,015,949"/>
    <n v="7015949"/>
    <s v="N/A"/>
    <e v="#VALUE!"/>
    <s v="274.53M"/>
    <n v="2.555E-2"/>
    <n v="2.5544891021795642E-2"/>
    <n v="5.108978204357989E-6"/>
    <x v="1"/>
    <n v="2.5555111022204442E-2"/>
    <n v="2.5555109999999999E-2"/>
    <x v="1"/>
    <x v="4"/>
    <n v="2.0000000000000001E-4"/>
  </r>
  <r>
    <x v="131"/>
    <x v="1"/>
    <x v="132"/>
    <s v="$0.03469"/>
    <x v="1"/>
    <n v="1.5E-3"/>
    <s v="$6,977,656"/>
    <n v="6977656"/>
    <s v="$146,941"/>
    <n v="146941"/>
    <s v="201.12M"/>
    <n v="3.4689999999999999E-2"/>
    <n v="3.4638042935596601E-2"/>
    <n v="5.195706440339759E-5"/>
    <x v="1"/>
    <n v="3.4742113169754632E-2"/>
    <n v="3.4742034999999998E-2"/>
    <x v="1"/>
    <x v="4"/>
    <n v="1.5E-3"/>
  </r>
  <r>
    <x v="132"/>
    <x v="1"/>
    <x v="133"/>
    <s v="$0.01934"/>
    <x v="1"/>
    <n v="2.0000000000000001E-4"/>
    <s v="$6,955,385"/>
    <n v="6955385"/>
    <s v="$6,780"/>
    <n v="6780"/>
    <s v="359.59M"/>
    <n v="1.934E-2"/>
    <n v="1.933613277344531E-2"/>
    <n v="3.8672265546893514E-6"/>
    <x v="1"/>
    <n v="1.9343868773754751E-2"/>
    <n v="1.9343868E-2"/>
    <x v="1"/>
    <x v="4"/>
    <n v="2.0000000000000001E-4"/>
  </r>
  <r>
    <x v="133"/>
    <x v="1"/>
    <x v="134"/>
    <s v="$0.00001759"/>
    <x v="1"/>
    <n v="0"/>
    <s v="$6,922,422"/>
    <n v="6922422"/>
    <s v="N/A"/>
    <e v="#VALUE!"/>
    <s v="393.4B"/>
    <n v="1.7589999999999999E-5"/>
    <n v="1.7589999999999999E-5"/>
    <n v="0"/>
    <x v="1"/>
    <n v="1.7589999999999999E-5"/>
    <n v="1.7589999999999999E-5"/>
    <x v="1"/>
    <x v="4"/>
    <n v="0"/>
  </r>
  <r>
    <x v="134"/>
    <x v="1"/>
    <x v="135"/>
    <s v="$1.38"/>
    <x v="1"/>
    <n v="2.8500000000000001E-2"/>
    <s v="$6,916,559"/>
    <n v="6916559"/>
    <s v="$425,962"/>
    <n v="425962"/>
    <s v="4.99M"/>
    <n v="1.38"/>
    <n v="1.3417598444336412"/>
    <n v="3.8240155566358736E-2"/>
    <x v="1"/>
    <n v="1.4204837879567678"/>
    <n v="1.4193299999999998"/>
    <x v="1"/>
    <x v="1"/>
    <n v="2.8500000000000001E-2"/>
  </r>
  <r>
    <x v="135"/>
    <x v="1"/>
    <x v="136"/>
    <s v="$0.0002995"/>
    <x v="1"/>
    <n v="5.9999999999999995E-4"/>
    <s v="$6,910,668"/>
    <n v="6910668"/>
    <s v="$87,808"/>
    <n v="87808"/>
    <s v="23.06B"/>
    <n v="2.9950000000000002E-4"/>
    <n v="2.9932040775534685E-4"/>
    <n v="1.7959224465316677E-7"/>
    <x v="1"/>
    <n v="2.9967980788473086E-4"/>
    <n v="2.9967969999999998E-4"/>
    <x v="1"/>
    <x v="4"/>
    <n v="5.9999999999999995E-4"/>
  </r>
  <r>
    <x v="136"/>
    <x v="0"/>
    <x v="137"/>
    <s v="$0.0009944"/>
    <x v="1"/>
    <n v="3.8E-3"/>
    <s v="$6,901,123"/>
    <n v="6901123"/>
    <s v="$187,469"/>
    <n v="187469"/>
    <s v="6.93B"/>
    <n v="9.944000000000001E-4"/>
    <n v="9.9063558477784433E-4"/>
    <n v="3.7644152221557713E-6"/>
    <x v="1"/>
    <n v="9.9819313390885371E-4"/>
    <n v="9.9817872000000011E-4"/>
    <x v="1"/>
    <x v="4"/>
    <n v="3.8E-3"/>
  </r>
  <r>
    <x v="137"/>
    <x v="0"/>
    <x v="138"/>
    <s v="$0.1352"/>
    <x v="1"/>
    <n v="1.8E-3"/>
    <s v="$6,897,513"/>
    <n v="6897513"/>
    <s v="$340,331"/>
    <n v="340331"/>
    <s v="50.99M"/>
    <n v="0.13519999999999999"/>
    <n v="0.13495707726093031"/>
    <n v="2.429227390696731E-4"/>
    <x v="1"/>
    <n v="0.13544379883790822"/>
    <n v="0.13544335999999998"/>
    <x v="1"/>
    <x v="2"/>
    <n v="1.8E-3"/>
  </r>
  <r>
    <x v="138"/>
    <x v="1"/>
    <x v="139"/>
    <s v="$0.004908"/>
    <x v="1"/>
    <n v="1.1999999999999999E-3"/>
    <s v="$6,894,766"/>
    <n v="6894766"/>
    <s v="$321,408"/>
    <n v="321408"/>
    <s v="1.4B"/>
    <n v="4.908E-3"/>
    <n v="4.9021174590491408E-3"/>
    <n v="5.8825409508592164E-6"/>
    <x v="1"/>
    <n v="4.9138966760112132E-3"/>
    <n v="4.9138896000000005E-3"/>
    <x v="1"/>
    <x v="4"/>
    <n v="1.1999999999999999E-3"/>
  </r>
  <r>
    <x v="139"/>
    <x v="1"/>
    <x v="140"/>
    <s v="$0.06052"/>
    <x v="1"/>
    <n v="1.5900000000000001E-2"/>
    <s v="$5,328,756"/>
    <n v="5328756"/>
    <s v="$4,164,781"/>
    <n v="4164781"/>
    <s v="88.03M"/>
    <n v="6.0519999999999997E-2"/>
    <n v="5.9572792597696621E-2"/>
    <n v="9.4720740230337663E-4"/>
    <x v="1"/>
    <n v="6.1497815262676558E-2"/>
    <n v="6.1482268E-2"/>
    <x v="1"/>
    <x v="2"/>
    <n v="1.5900000000000001E-2"/>
  </r>
  <r>
    <x v="140"/>
    <x v="1"/>
    <x v="141"/>
    <s v="$0.2610"/>
    <x v="1"/>
    <n v="1.1000000000000001E-3"/>
    <s v="$5,322,203"/>
    <n v="5322203"/>
    <s v="$3,754,649"/>
    <n v="3754649"/>
    <s v="20.38M"/>
    <n v="0.26100000000000001"/>
    <n v="0.2607132154629907"/>
    <n v="2.8678453700931028E-4"/>
    <x v="1"/>
    <n v="0.26128741615777357"/>
    <n v="0.26128710000000005"/>
    <x v="1"/>
    <x v="2"/>
    <n v="1.1000000000000001E-3"/>
  </r>
  <r>
    <x v="141"/>
    <x v="0"/>
    <x v="142"/>
    <s v="$0.005877"/>
    <x v="1"/>
    <n v="1.1000000000000001E-3"/>
    <s v="$5,321,075"/>
    <n v="5321075"/>
    <s v="$59,834"/>
    <n v="59834"/>
    <s v="905.3M"/>
    <n v="5.8770000000000003E-3"/>
    <n v="5.8705424033563079E-3"/>
    <n v="6.4575966436924287E-6"/>
    <x v="1"/>
    <n v="5.8834718190009013E-3"/>
    <n v="5.8834647000000012E-3"/>
    <x v="1"/>
    <x v="4"/>
    <n v="1.1000000000000001E-3"/>
  </r>
  <r>
    <x v="142"/>
    <x v="1"/>
    <x v="143"/>
    <s v="$0.01122"/>
    <x v="1"/>
    <n v="2.9399999999999999E-2"/>
    <s v="$5,289,262"/>
    <n v="5289262"/>
    <s v="$30,255"/>
    <n v="30255"/>
    <s v="471M"/>
    <n v="1.1220000000000001E-2"/>
    <n v="1.0899553137750146E-2"/>
    <n v="3.2044686224985512E-4"/>
    <x v="1"/>
    <n v="1.1559859880486297E-2"/>
    <n v="1.1549868000000001E-2"/>
    <x v="1"/>
    <x v="4"/>
    <n v="2.9399999999999999E-2"/>
  </r>
  <r>
    <x v="143"/>
    <x v="1"/>
    <x v="144"/>
    <s v="$0.05787"/>
    <x v="1"/>
    <n v="8.9999999999999998E-4"/>
    <s v="$5,279,826"/>
    <n v="5279826"/>
    <s v="$1,013,267"/>
    <n v="1013267"/>
    <s v="91.22M"/>
    <n v="5.7869999999999998E-2"/>
    <n v="5.7817963832550709E-2"/>
    <n v="5.2036167449288906E-5"/>
    <x v="1"/>
    <n v="5.7922129916925233E-2"/>
    <n v="5.7922082999999992E-2"/>
    <x v="1"/>
    <x v="2"/>
    <n v="8.9999999999999998E-4"/>
  </r>
  <r>
    <x v="144"/>
    <x v="1"/>
    <x v="145"/>
    <s v="$0.06946"/>
    <x v="1"/>
    <n v="3.2000000000000002E-3"/>
    <s v="$5,273,359"/>
    <n v="5273359"/>
    <s v="$846,710"/>
    <n v="846710"/>
    <s v="75.91M"/>
    <n v="6.9459999999999994E-2"/>
    <n v="6.9238437001594891E-2"/>
    <n v="2.2156299840510318E-4"/>
    <x v="1"/>
    <n v="6.9682985553772059E-2"/>
    <n v="6.9682272000000003E-2"/>
    <x v="1"/>
    <x v="2"/>
    <n v="3.2000000000000002E-3"/>
  </r>
  <r>
    <x v="145"/>
    <x v="1"/>
    <x v="146"/>
    <s v="$9.06"/>
    <x v="1"/>
    <n v="1.1900000000000001E-2"/>
    <s v="$5,254,151"/>
    <n v="5254151"/>
    <s v="$27,503"/>
    <n v="27503"/>
    <s v="579.84K"/>
    <n v="9.06"/>
    <n v="8.9534538986065826"/>
    <n v="0.10654610139341791"/>
    <x v="1"/>
    <n v="9.1691124380123483"/>
    <n v="9.1678139999999999"/>
    <x v="0"/>
    <x v="3"/>
    <n v="1.1900000000000001E-2"/>
  </r>
  <r>
    <x v="146"/>
    <x v="0"/>
    <x v="147"/>
    <s v="$0.3037"/>
    <x v="1"/>
    <n v="1.1900000000000001E-2"/>
    <s v="$5,249,160"/>
    <n v="5249160"/>
    <s v="$64,548"/>
    <n v="64548"/>
    <s v="17.27M"/>
    <n v="0.30370000000000003"/>
    <n v="0.30012847119280561"/>
    <n v="3.5715288071944129E-3"/>
    <x v="1"/>
    <n v="0.30735755490334987"/>
    <n v="0.30731403000000002"/>
    <x v="1"/>
    <x v="2"/>
    <n v="1.1900000000000001E-2"/>
  </r>
  <r>
    <x v="147"/>
    <x v="0"/>
    <x v="148"/>
    <s v="$0.005238"/>
    <x v="1"/>
    <n v="9.1000000000000004E-3"/>
    <s v="$5,236,511"/>
    <n v="5236511"/>
    <s v="$2,582,102"/>
    <n v="2582102"/>
    <s v="999.68M"/>
    <n v="5.2379999999999996E-3"/>
    <n v="5.1907640471707452E-3"/>
    <n v="4.7235952829254371E-5"/>
    <x v="1"/>
    <n v="5.2861035422343324E-3"/>
    <n v="5.2856658000000004E-3"/>
    <x v="1"/>
    <x v="4"/>
    <n v="9.1000000000000004E-3"/>
  </r>
  <r>
    <x v="148"/>
    <x v="0"/>
    <x v="149"/>
    <s v="$0.02444"/>
    <x v="1"/>
    <n v="2.9999999999999997E-4"/>
    <s v="$5,209,385"/>
    <n v="5209385"/>
    <s v="$289,972"/>
    <n v="289972"/>
    <s v="213.09M"/>
    <n v="2.444E-2"/>
    <n v="2.4432670198940319E-2"/>
    <n v="7.3298010596807572E-6"/>
    <x v="1"/>
    <n v="2.4447334200260077E-2"/>
    <n v="2.4447331999999999E-2"/>
    <x v="1"/>
    <x v="4"/>
    <n v="2.9999999999999997E-4"/>
  </r>
  <r>
    <x v="149"/>
    <x v="1"/>
    <x v="150"/>
    <s v="$0.084376"/>
    <x v="1"/>
    <n v="1.3299999999999999E-2"/>
    <s v="$4,203,318"/>
    <n v="4203318"/>
    <s v="$369,327"/>
    <n v="369327"/>
    <s v="960.42T"/>
    <n v="8.4376000000000007E-2"/>
    <n v="8.3268528570018749E-2"/>
    <n v="1.1074714299812577E-3"/>
    <x v="1"/>
    <n v="8.5513327252457694E-2"/>
    <n v="8.5498200800000021E-2"/>
    <x v="1"/>
    <x v="2"/>
    <n v="1.3299999999999999E-2"/>
  </r>
  <r>
    <x v="150"/>
    <x v="0"/>
    <x v="151"/>
    <s v="$0.03701"/>
    <x v="1"/>
    <n v="0"/>
    <s v="$4,202,448"/>
    <n v="4202448"/>
    <s v="N/A"/>
    <e v="#VALUE!"/>
    <s v="113.53M"/>
    <n v="3.7010000000000001E-2"/>
    <n v="3.7010000000000001E-2"/>
    <n v="0"/>
    <x v="1"/>
    <n v="3.7010000000000001E-2"/>
    <n v="3.7010000000000001E-2"/>
    <x v="1"/>
    <x v="4"/>
    <n v="0"/>
  </r>
  <r>
    <x v="151"/>
    <x v="0"/>
    <x v="152"/>
    <s v="$0.0009776"/>
    <x v="1"/>
    <n v="0"/>
    <s v="$4,193,254"/>
    <n v="4193254"/>
    <s v="N/A"/>
    <e v="#VALUE!"/>
    <s v="4.28B"/>
    <n v="9.7759999999999991E-4"/>
    <n v="9.7759999999999991E-4"/>
    <n v="0"/>
    <x v="1"/>
    <n v="9.7759999999999991E-4"/>
    <n v="9.7759999999999991E-4"/>
    <x v="1"/>
    <x v="4"/>
    <n v="0"/>
  </r>
  <r>
    <x v="152"/>
    <x v="1"/>
    <x v="153"/>
    <s v="$0.0006957"/>
    <x v="1"/>
    <n v="3.6900000000000002E-2"/>
    <s v="$4,174,785"/>
    <n v="4174785"/>
    <s v="$10,230,683"/>
    <n v="10230683"/>
    <s v="6B"/>
    <n v="6.9570000000000005E-4"/>
    <n v="6.7094223165203978E-4"/>
    <n v="2.4757768347960269E-5"/>
    <x v="1"/>
    <n v="7.2235489564946532E-4"/>
    <n v="7.2137133000000004E-4"/>
    <x v="1"/>
    <x v="4"/>
    <n v="3.6900000000000002E-2"/>
  </r>
  <r>
    <x v="153"/>
    <x v="0"/>
    <x v="154"/>
    <s v="$0.02762"/>
    <x v="1"/>
    <n v="1E-3"/>
    <s v="$4,163,952"/>
    <n v="4163952"/>
    <s v="$96,917"/>
    <n v="96917"/>
    <s v="150.75M"/>
    <n v="2.7619999999999999E-2"/>
    <n v="2.7592407592407595E-2"/>
    <n v="2.7592407592404167E-5"/>
    <x v="1"/>
    <n v="2.7647647647647645E-2"/>
    <n v="2.7647619999999994E-2"/>
    <x v="1"/>
    <x v="4"/>
    <n v="1E-3"/>
  </r>
  <r>
    <x v="154"/>
    <x v="1"/>
    <x v="155"/>
    <s v="$0.003939"/>
    <x v="1"/>
    <n v="2.2000000000000001E-3"/>
    <s v="$4,148,747"/>
    <n v="4148747"/>
    <s v="$8,766"/>
    <n v="8766"/>
    <s v="1.05B"/>
    <n v="3.9389999999999998E-3"/>
    <n v="3.9303532229095989E-3"/>
    <n v="8.6467770904008825E-6"/>
    <x v="1"/>
    <n v="3.9476849067949489E-3"/>
    <n v="3.9476657999999998E-3"/>
    <x v="1"/>
    <x v="4"/>
    <n v="2.2000000000000001E-3"/>
  </r>
  <r>
    <x v="155"/>
    <x v="0"/>
    <x v="156"/>
    <s v="$0.4422"/>
    <x v="1"/>
    <n v="1E-4"/>
    <s v="$4,145,259"/>
    <n v="4145259"/>
    <s v="N/A"/>
    <e v="#VALUE!"/>
    <s v="9.37M"/>
    <n v="0.44219999999999998"/>
    <n v="0.44215578442155784"/>
    <n v="4.4215578442141634E-5"/>
    <x v="1"/>
    <n v="0.44224422442244221"/>
    <n v="0.44224421999999997"/>
    <x v="1"/>
    <x v="2"/>
    <n v="1E-4"/>
  </r>
  <r>
    <x v="156"/>
    <x v="1"/>
    <x v="157"/>
    <s v="$0.2066"/>
    <x v="1"/>
    <n v="9.7999999999999997E-3"/>
    <s v="$4,140,168"/>
    <n v="4140168"/>
    <s v="$106,213"/>
    <n v="106213"/>
    <s v="20.03M"/>
    <n v="0.20660000000000001"/>
    <n v="0.20459496930085166"/>
    <n v="2.0050306991483413E-3"/>
    <x v="1"/>
    <n v="0.20864471823873967"/>
    <n v="0.20862468000000001"/>
    <x v="1"/>
    <x v="2"/>
    <n v="9.7999999999999997E-3"/>
  </r>
  <r>
    <x v="157"/>
    <x v="1"/>
    <x v="158"/>
    <s v="$0.0009470"/>
    <x v="1"/>
    <n v="2.9999999999999997E-4"/>
    <s v="$4,138,839"/>
    <n v="4138839"/>
    <s v="$847"/>
    <n v="847"/>
    <s v="4.37B"/>
    <n v="9.4700000000000003E-4"/>
    <n v="9.4671598520443875E-4"/>
    <n v="2.8401479556128695E-7"/>
    <x v="1"/>
    <n v="9.4728418525557667E-4"/>
    <n v="9.4728409999999999E-4"/>
    <x v="1"/>
    <x v="4"/>
    <n v="2.9999999999999997E-4"/>
  </r>
  <r>
    <x v="158"/>
    <x v="1"/>
    <x v="159"/>
    <s v="$0.0008261"/>
    <x v="1"/>
    <n v="6.8999999999999999E-3"/>
    <s v="$4,130,541"/>
    <n v="4130541"/>
    <s v="$355,240"/>
    <n v="355240"/>
    <s v="5B"/>
    <n v="8.2609999999999997E-4"/>
    <n v="8.2043897109941404E-4"/>
    <n v="5.6610289005859299E-6"/>
    <x v="1"/>
    <n v="8.3183969388782601E-4"/>
    <n v="8.3180008999999991E-4"/>
    <x v="1"/>
    <x v="4"/>
    <n v="6.8999999999999999E-3"/>
  </r>
  <r>
    <x v="159"/>
    <x v="0"/>
    <x v="160"/>
    <s v="$0.0007666"/>
    <x v="1"/>
    <n v="0"/>
    <s v="$3,350,959"/>
    <n v="3350959"/>
    <s v="N/A"/>
    <e v="#VALUE!"/>
    <s v="4.37B"/>
    <n v="7.6659999999999999E-4"/>
    <n v="7.6659999999999999E-4"/>
    <n v="0"/>
    <x v="1"/>
    <n v="7.6659999999999999E-4"/>
    <n v="7.6659999999999999E-4"/>
    <x v="1"/>
    <x v="4"/>
    <n v="0"/>
  </r>
  <r>
    <x v="160"/>
    <x v="1"/>
    <x v="161"/>
    <s v="$0.1620"/>
    <x v="1"/>
    <n v="2.7000000000000001E-3"/>
    <s v="$3,346,569"/>
    <n v="3346569"/>
    <s v="$331,094"/>
    <n v="331094"/>
    <s v="20.64M"/>
    <n v="0.16200000000000001"/>
    <n v="0.16156377779994019"/>
    <n v="4.3622220005981593E-4"/>
    <x v="1"/>
    <n v="0.16243858417727866"/>
    <n v="0.16243739999999998"/>
    <x v="1"/>
    <x v="2"/>
    <n v="2.7000000000000001E-3"/>
  </r>
  <r>
    <x v="161"/>
    <x v="1"/>
    <x v="162"/>
    <s v="$0.001237"/>
    <x v="1"/>
    <n v="5.4000000000000003E-3"/>
    <s v="$3,339,357"/>
    <n v="3339357"/>
    <s v="$18,420"/>
    <n v="18420"/>
    <s v="2.69B"/>
    <n v="1.237E-3"/>
    <n v="1.2303560771832105E-3"/>
    <n v="6.6439228167895336E-6"/>
    <x v="1"/>
    <n v="1.2437160667605068E-3"/>
    <n v="1.2436798000000002E-3"/>
    <x v="1"/>
    <x v="4"/>
    <n v="5.4000000000000003E-3"/>
  </r>
  <r>
    <x v="162"/>
    <x v="1"/>
    <x v="163"/>
    <s v="$0.0004016"/>
    <x v="1"/>
    <n v="9.5999999999999992E-3"/>
    <s v="$3,333,341"/>
    <n v="3333341"/>
    <s v="$1,613,699"/>
    <n v="1613699"/>
    <s v="8.29B"/>
    <n v="4.016E-4"/>
    <n v="3.9778129952456416E-4"/>
    <n v="3.8187004754358439E-6"/>
    <x v="1"/>
    <n v="4.0549273021001618E-4"/>
    <n v="4.0545536000000001E-4"/>
    <x v="1"/>
    <x v="4"/>
    <n v="9.5999999999999992E-3"/>
  </r>
  <r>
    <x v="163"/>
    <x v="0"/>
    <x v="164"/>
    <s v="$0.05404"/>
    <x v="1"/>
    <n v="1.6000000000000001E-3"/>
    <s v="$3,321,989"/>
    <n v="3321989"/>
    <s v="$875,780"/>
    <n v="875780"/>
    <s v="61.46M"/>
    <n v="5.4039999999999998E-2"/>
    <n v="5.3953674121405747E-2"/>
    <n v="8.6325878594251115E-5"/>
    <x v="1"/>
    <n v="5.4126602564102566E-2"/>
    <n v="5.4126463999999999E-2"/>
    <x v="1"/>
    <x v="2"/>
    <n v="1.6000000000000001E-3"/>
  </r>
  <r>
    <x v="164"/>
    <x v="0"/>
    <x v="165"/>
    <s v="$0.01320"/>
    <x v="1"/>
    <n v="1.12E-2"/>
    <s v="$3,318,891"/>
    <n v="3318891"/>
    <s v="$2,394,175"/>
    <n v="2394175"/>
    <s v="251.34M"/>
    <n v="1.32E-2"/>
    <n v="1.3053797468354429E-2"/>
    <n v="1.4620253164557111E-4"/>
    <x v="1"/>
    <n v="1.3349514563106795E-2"/>
    <n v="1.3347840000000001E-2"/>
    <x v="1"/>
    <x v="4"/>
    <n v="1.12E-2"/>
  </r>
  <r>
    <x v="165"/>
    <x v="0"/>
    <x v="166"/>
    <s v="$0.004211"/>
    <x v="1"/>
    <n v="2.9999999999999997E-4"/>
    <s v="$3,316,153"/>
    <n v="3316153"/>
    <s v="$95,553"/>
    <n v="95553"/>
    <s v="787.4M"/>
    <n v="4.2110000000000003E-3"/>
    <n v="4.2097370788763376E-3"/>
    <n v="1.2629211236627261E-6"/>
    <x v="1"/>
    <n v="4.2122636791037315E-3"/>
    <n v="4.2122633000000005E-3"/>
    <x v="1"/>
    <x v="4"/>
    <n v="2.9999999999999997E-4"/>
  </r>
  <r>
    <x v="166"/>
    <x v="1"/>
    <x v="167"/>
    <s v="$0.03652"/>
    <x v="1"/>
    <n v="2.8999999999999998E-3"/>
    <s v="$3,296,073"/>
    <n v="3296073"/>
    <s v="$1,991,360"/>
    <n v="1991360"/>
    <s v="90.23M"/>
    <n v="3.6519999999999997E-2"/>
    <n v="3.6414398245089241E-2"/>
    <n v="1.0560175491075574E-4"/>
    <x v="1"/>
    <n v="3.6626216026476782E-2"/>
    <n v="3.6625907999999992E-2"/>
    <x v="1"/>
    <x v="4"/>
    <n v="2.8999999999999998E-3"/>
  </r>
  <r>
    <x v="167"/>
    <x v="1"/>
    <x v="168"/>
    <s v="$0.0003290"/>
    <x v="1"/>
    <n v="0"/>
    <s v="$3,290,369"/>
    <n v="3290369"/>
    <s v="$19,915"/>
    <n v="19915"/>
    <s v="10B"/>
    <n v="3.2899999999999997E-4"/>
    <n v="3.2899999999999997E-4"/>
    <n v="0"/>
    <x v="1"/>
    <n v="3.2899999999999997E-4"/>
    <n v="3.2899999999999997E-4"/>
    <x v="1"/>
    <x v="4"/>
    <n v="0"/>
  </r>
  <r>
    <x v="168"/>
    <x v="1"/>
    <x v="169"/>
    <s v="$0.003694"/>
    <x v="1"/>
    <n v="7.4000000000000003E-3"/>
    <s v="$3,283,841"/>
    <n v="3283841"/>
    <s v="$123,380"/>
    <n v="123380"/>
    <s v="888.88M"/>
    <n v="3.6939999999999998E-3"/>
    <n v="3.6668651975382167E-3"/>
    <n v="2.7134802461783059E-5"/>
    <x v="1"/>
    <n v="3.7215393914970781E-3"/>
    <n v="3.7213355999999999E-3"/>
    <x v="1"/>
    <x v="4"/>
    <n v="7.4000000000000003E-3"/>
  </r>
  <r>
    <x v="169"/>
    <x v="1"/>
    <x v="170"/>
    <s v="$0.005020"/>
    <x v="1"/>
    <n v="1.6999999999999999E-3"/>
    <s v="$2,780,822"/>
    <n v="2780822"/>
    <s v="$492,884"/>
    <n v="492884"/>
    <s v="553.85M"/>
    <n v="5.0200000000000002E-3"/>
    <n v="5.0114804831785965E-3"/>
    <n v="8.5195168214036165E-6"/>
    <x v="1"/>
    <n v="5.0285485325052594E-3"/>
    <n v="5.0285340000000003E-3"/>
    <x v="1"/>
    <x v="4"/>
    <n v="1.6999999999999999E-3"/>
  </r>
  <r>
    <x v="170"/>
    <x v="1"/>
    <x v="171"/>
    <s v="$0.003526"/>
    <x v="1"/>
    <n v="3.2000000000000002E-3"/>
    <s v="$2,775,444"/>
    <n v="2775444"/>
    <s v="$78,498"/>
    <n v="78498"/>
    <s v="787M"/>
    <n v="3.5260000000000001E-3"/>
    <n v="3.5147527910685803E-3"/>
    <n v="1.1247208931419728E-5"/>
    <x v="1"/>
    <n v="3.537319422150883E-3"/>
    <n v="3.5372832000000005E-3"/>
    <x v="1"/>
    <x v="4"/>
    <n v="3.2000000000000002E-3"/>
  </r>
  <r>
    <x v="171"/>
    <x v="1"/>
    <x v="172"/>
    <s v="$0.002758"/>
    <x v="1"/>
    <n v="0"/>
    <s v="$2,758,101"/>
    <n v="2758101"/>
    <s v="N/A"/>
    <e v="#VALUE!"/>
    <s v="999.99M"/>
    <n v="2.758E-3"/>
    <n v="2.758E-3"/>
    <n v="0"/>
    <x v="1"/>
    <n v="2.758E-3"/>
    <n v="2.758E-3"/>
    <x v="1"/>
    <x v="4"/>
    <n v="0"/>
  </r>
  <r>
    <x v="172"/>
    <x v="0"/>
    <x v="173"/>
    <s v="$0.005687"/>
    <x v="1"/>
    <n v="4.1000000000000003E-3"/>
    <s v="$2,752,249"/>
    <n v="2752249"/>
    <s v="$248,901"/>
    <n v="248901"/>
    <s v="483.88M"/>
    <n v="5.6870000000000002E-3"/>
    <n v="5.6637785081167218E-3"/>
    <n v="2.3221491883278385E-5"/>
    <x v="1"/>
    <n v="5.7104126920373534E-3"/>
    <n v="5.7103166999999998E-3"/>
    <x v="1"/>
    <x v="4"/>
    <n v="4.1000000000000003E-3"/>
  </r>
  <r>
    <x v="173"/>
    <x v="1"/>
    <x v="174"/>
    <s v="$2.63"/>
    <x v="1"/>
    <n v="1.66E-2"/>
    <s v="$2,740,226"/>
    <n v="2740226"/>
    <s v="$650,212"/>
    <n v="650212"/>
    <s v="1.04M"/>
    <n v="2.63"/>
    <n v="2.5870548888451701"/>
    <n v="4.2945111154829796E-2"/>
    <x v="1"/>
    <n v="2.6743949562741505"/>
    <n v="2.6736579999999996"/>
    <x v="1"/>
    <x v="1"/>
    <n v="1.66E-2"/>
  </r>
  <r>
    <x v="174"/>
    <x v="0"/>
    <x v="175"/>
    <s v="$0.07225"/>
    <x v="1"/>
    <n v="7.1999999999999998E-3"/>
    <s v="$2,725,328"/>
    <n v="2725328"/>
    <s v="$225,992"/>
    <n v="225992"/>
    <s v="37.72M"/>
    <n v="7.2249999999999995E-2"/>
    <n v="7.1733518665607607E-2"/>
    <n v="5.1648133439238797E-4"/>
    <x v="1"/>
    <n v="7.2773972602739725E-2"/>
    <n v="7.2770200000000007E-2"/>
    <x v="1"/>
    <x v="2"/>
    <n v="7.1999999999999998E-3"/>
  </r>
  <r>
    <x v="175"/>
    <x v="0"/>
    <x v="176"/>
    <s v="$0.002739"/>
    <x v="1"/>
    <n v="3.3E-3"/>
    <s v="$2,721,575"/>
    <n v="2721575"/>
    <s v="$9,317"/>
    <n v="9317"/>
    <s v="993.5M"/>
    <n v="2.7390000000000001E-3"/>
    <n v="2.7299910296023121E-3"/>
    <n v="9.0089703976880056E-6"/>
    <x v="1"/>
    <n v="2.7480686264673422E-3"/>
    <n v="2.7480387000000002E-3"/>
    <x v="1"/>
    <x v="4"/>
    <n v="3.3E-3"/>
  </r>
  <r>
    <x v="176"/>
    <x v="1"/>
    <x v="177"/>
    <s v="$0.3380"/>
    <x v="1"/>
    <n v="1.6199999999999999E-2"/>
    <s v="$2,718,841"/>
    <n v="2718841"/>
    <s v="$93,501"/>
    <n v="93501"/>
    <s v="8.04M"/>
    <n v="0.33800000000000002"/>
    <n v="0.33261169061208429"/>
    <n v="5.3883093879157351E-3"/>
    <x v="1"/>
    <n v="0.34356576539947148"/>
    <n v="0.34347560000000005"/>
    <x v="1"/>
    <x v="2"/>
    <n v="1.6199999999999999E-2"/>
  </r>
  <r>
    <x v="177"/>
    <x v="0"/>
    <x v="178"/>
    <s v="$0.088474"/>
    <x v="1"/>
    <n v="8.9999999999999998E-4"/>
    <s v="$2,717,949"/>
    <n v="2717949"/>
    <s v="$86,410"/>
    <n v="86410"/>
    <s v="320.72T"/>
    <n v="8.8473999999999997E-2"/>
    <n v="8.8394444999500457E-2"/>
    <n v="7.9555000499539896E-5"/>
    <x v="1"/>
    <n v="8.8553698328495647E-2"/>
    <n v="8.8553626599999991E-2"/>
    <x v="1"/>
    <x v="2"/>
    <n v="8.9999999999999998E-4"/>
  </r>
  <r>
    <x v="178"/>
    <x v="0"/>
    <x v="179"/>
    <s v="$0.01790"/>
    <x v="1"/>
    <n v="6.4000000000000003E-3"/>
    <s v="$2,715,332"/>
    <n v="2715332"/>
    <s v="$475,091"/>
    <n v="475091"/>
    <s v="151.66M"/>
    <n v="1.7899999999999999E-2"/>
    <n v="1.7786168521462638E-2"/>
    <n v="1.1383147853736078E-4"/>
    <x v="1"/>
    <n v="1.8015297906602255E-2"/>
    <n v="1.8014559999999999E-2"/>
    <x v="1"/>
    <x v="4"/>
    <n v="6.4000000000000003E-3"/>
  </r>
  <r>
    <x v="179"/>
    <x v="1"/>
    <x v="180"/>
    <s v="$0.055381"/>
    <x v="1"/>
    <n v="1.4E-3"/>
    <s v="$2,203,902"/>
    <n v="2203902"/>
    <s v="$537,558"/>
    <n v="537558"/>
    <s v="409.5B"/>
    <n v="5.5381E-2"/>
    <n v="5.5303574995006988E-2"/>
    <n v="7.742500499301197E-5"/>
    <x v="1"/>
    <n v="5.5458642098938513E-2"/>
    <n v="5.5458533400000003E-2"/>
    <x v="1"/>
    <x v="2"/>
    <n v="1.4E-3"/>
  </r>
  <r>
    <x v="180"/>
    <x v="1"/>
    <x v="181"/>
    <s v="$0.03111"/>
    <x v="1"/>
    <n v="1.2999999999999999E-3"/>
    <s v="$2,196,829"/>
    <n v="2196829"/>
    <s v="$181,224"/>
    <n v="181224"/>
    <s v="70.59M"/>
    <n v="3.1109999999999999E-2"/>
    <n v="3.1069609507640063E-2"/>
    <n v="4.0390492359935332E-5"/>
    <x v="1"/>
    <n v="3.1150495644337636E-2"/>
    <n v="3.1150443E-2"/>
    <x v="1"/>
    <x v="4"/>
    <n v="1.2999999999999999E-3"/>
  </r>
  <r>
    <x v="181"/>
    <x v="0"/>
    <x v="182"/>
    <s v="$0.005725"/>
    <x v="1"/>
    <n v="2.3E-3"/>
    <s v="$2,192,711"/>
    <n v="2192711"/>
    <s v="$55,232"/>
    <n v="55232"/>
    <s v="382.95M"/>
    <n v="5.7250000000000001E-3"/>
    <n v="5.7118627157537669E-3"/>
    <n v="1.3137284246233193E-5"/>
    <x v="1"/>
    <n v="5.7381978550666533E-3"/>
    <n v="5.7381674999999995E-3"/>
    <x v="1"/>
    <x v="4"/>
    <n v="2.3E-3"/>
  </r>
  <r>
    <x v="182"/>
    <x v="1"/>
    <x v="183"/>
    <s v="$0.052193"/>
    <x v="1"/>
    <n v="3.3E-3"/>
    <s v="$2,193,844"/>
    <n v="2193844"/>
    <s v="$238,266"/>
    <n v="238266"/>
    <s v="1T"/>
    <n v="5.2193000000000003E-2"/>
    <n v="5.2021329612279475E-2"/>
    <n v="1.7167038772052806E-4"/>
    <x v="1"/>
    <n v="5.2365807163640012E-2"/>
    <n v="5.2365236900000008E-2"/>
    <x v="1"/>
    <x v="2"/>
    <n v="3.3E-3"/>
  </r>
  <r>
    <x v="183"/>
    <x v="0"/>
    <x v="184"/>
    <s v="$0.003197"/>
    <x v="1"/>
    <n v="0"/>
    <s v="$2,190,937"/>
    <n v="2190937"/>
    <s v="N/A"/>
    <e v="#VALUE!"/>
    <s v="685.09M"/>
    <n v="3.1970000000000002E-3"/>
    <n v="3.1970000000000002E-3"/>
    <n v="0"/>
    <x v="1"/>
    <n v="3.1970000000000002E-3"/>
    <n v="3.1970000000000002E-3"/>
    <x v="1"/>
    <x v="4"/>
    <n v="0"/>
  </r>
  <r>
    <x v="184"/>
    <x v="1"/>
    <x v="185"/>
    <s v="$0.3023"/>
    <x v="1"/>
    <n v="4.1000000000000003E-3"/>
    <s v="$2,187,874"/>
    <n v="2187874"/>
    <s v="$49,762"/>
    <n v="49762"/>
    <s v="7.23M"/>
    <n v="0.30230000000000001"/>
    <n v="0.30106563091325567"/>
    <n v="1.2343690867443469E-3"/>
    <x v="1"/>
    <n v="0.30354453258359276"/>
    <n v="0.30353943"/>
    <x v="1"/>
    <x v="2"/>
    <n v="4.1000000000000003E-3"/>
  </r>
  <r>
    <x v="185"/>
    <x v="1"/>
    <x v="186"/>
    <s v="$0.03800"/>
    <x v="1"/>
    <n v="1.1000000000000001E-3"/>
    <s v="$2,179,537"/>
    <n v="2179537"/>
    <s v="$1,268"/>
    <n v="1268"/>
    <s v="57.34M"/>
    <n v="3.7999999999999999E-2"/>
    <n v="3.7958245929477573E-2"/>
    <n v="4.175407052242619E-5"/>
    <x v="1"/>
    <n v="3.8041846030633694E-2"/>
    <n v="3.8041800000000001E-2"/>
    <x v="1"/>
    <x v="4"/>
    <n v="1.1000000000000001E-3"/>
  </r>
  <r>
    <x v="186"/>
    <x v="1"/>
    <x v="187"/>
    <s v="$0.083632"/>
    <x v="1"/>
    <n v="1.0500000000000001E-2"/>
    <s v="$2,178,852"/>
    <n v="2178852"/>
    <s v="$3,030"/>
    <n v="3030"/>
    <s v="599.88T"/>
    <n v="8.3631999999999998E-2"/>
    <n v="8.2762988619495298E-2"/>
    <n v="8.6901138050470006E-4"/>
    <x v="1"/>
    <n v="8.4519454269833247E-2"/>
    <n v="8.4510136E-2"/>
    <x v="1"/>
    <x v="2"/>
    <n v="1.0500000000000001E-2"/>
  </r>
  <r>
    <x v="187"/>
    <x v="0"/>
    <x v="188"/>
    <s v="$0.003261"/>
    <x v="1"/>
    <n v="1.83E-2"/>
    <s v="$2,188,825"/>
    <n v="2188825"/>
    <s v="$69,711"/>
    <n v="69711"/>
    <s v="671.09M"/>
    <n v="3.261E-3"/>
    <n v="3.2023961504468231E-3"/>
    <n v="5.8603849553176893E-5"/>
    <x v="1"/>
    <n v="3.3217887338290722E-3"/>
    <n v="3.3206762999999999E-3"/>
    <x v="1"/>
    <x v="4"/>
    <n v="1.83E-2"/>
  </r>
  <r>
    <x v="188"/>
    <x v="1"/>
    <x v="189"/>
    <s v="$0.2167"/>
    <x v="1"/>
    <n v="0"/>
    <s v="$2,167,793"/>
    <n v="2167793"/>
    <s v="N/A"/>
    <e v="#VALUE!"/>
    <s v="10M"/>
    <n v="0.2167"/>
    <n v="0.2167"/>
    <n v="0"/>
    <x v="1"/>
    <n v="0.2167"/>
    <n v="0.2167"/>
    <x v="1"/>
    <x v="2"/>
    <n v="0"/>
  </r>
  <r>
    <x v="189"/>
    <x v="1"/>
    <x v="190"/>
    <s v="$0.02041"/>
    <x v="1"/>
    <n v="2.9999999999999997E-4"/>
    <s v="$1,756,805"/>
    <n v="1756805"/>
    <s v="$90,761"/>
    <n v="90761"/>
    <s v="86.06M"/>
    <n v="2.0410000000000001E-2"/>
    <n v="2.0403878836349098E-2"/>
    <n v="6.1211636509031497E-6"/>
    <x v="1"/>
    <n v="2.0416124837451234E-2"/>
    <n v="2.0416123000000001E-2"/>
    <x v="1"/>
    <x v="4"/>
    <n v="2.9999999999999997E-4"/>
  </r>
  <r>
    <x v="190"/>
    <x v="1"/>
    <x v="191"/>
    <s v="$0.001755"/>
    <x v="1"/>
    <n v="4.2700000000000002E-2"/>
    <s v="$1,755,788"/>
    <n v="1755788"/>
    <s v="$403,029"/>
    <n v="403029"/>
    <s v="999.99M"/>
    <n v="1.755E-3"/>
    <n v="1.6831303347079698E-3"/>
    <n v="7.1869665292030246E-5"/>
    <x v="1"/>
    <n v="1.8332811031024757E-3"/>
    <n v="1.8299384999999999E-3"/>
    <x v="1"/>
    <x v="4"/>
    <n v="4.2700000000000002E-2"/>
  </r>
  <r>
    <x v="191"/>
    <x v="1"/>
    <x v="192"/>
    <s v="$0.03375"/>
    <x v="1"/>
    <n v="7.4000000000000003E-3"/>
    <s v="$1,754,868"/>
    <n v="1754868"/>
    <s v="$637"/>
    <n v="637"/>
    <s v="51.98M"/>
    <n v="3.3750000000000002E-2"/>
    <n v="3.3502084574151283E-2"/>
    <n v="2.4791542584871873E-4"/>
    <x v="1"/>
    <n v="3.4001611928269192E-2"/>
    <n v="3.3999750000000002E-2"/>
    <x v="1"/>
    <x v="4"/>
    <n v="7.4000000000000003E-3"/>
  </r>
  <r>
    <x v="192"/>
    <x v="0"/>
    <x v="193"/>
    <s v="$0.01587"/>
    <x v="1"/>
    <n v="1.4E-3"/>
    <s v="$1,752,254"/>
    <n v="1752254"/>
    <s v="$73,794"/>
    <n v="73794"/>
    <s v="110.37M"/>
    <n v="1.5869999999999999E-2"/>
    <n v="1.5847813061713598E-2"/>
    <n v="2.2186938286400393E-5"/>
    <x v="1"/>
    <n v="1.5892249148808331E-2"/>
    <n v="1.5892218E-2"/>
    <x v="1"/>
    <x v="4"/>
    <n v="1.4E-3"/>
  </r>
  <r>
    <x v="193"/>
    <x v="1"/>
    <x v="194"/>
    <s v="$0.006551"/>
    <x v="1"/>
    <n v="1.2999999999999999E-3"/>
    <s v="$1,747,236"/>
    <n v="1747236"/>
    <s v="$99,738"/>
    <n v="99738"/>
    <s v="266.69M"/>
    <n v="6.5510000000000004E-3"/>
    <n v="6.5424947568161387E-3"/>
    <n v="8.505243183861734E-6"/>
    <x v="1"/>
    <n v="6.5595273856012817E-3"/>
    <n v="6.559516300000001E-3"/>
    <x v="1"/>
    <x v="4"/>
    <n v="1.2999999999999999E-3"/>
  </r>
  <r>
    <x v="194"/>
    <x v="0"/>
    <x v="195"/>
    <s v="$0.001085"/>
    <x v="1"/>
    <n v="5.7999999999999996E-3"/>
    <s v="$1,745,226"/>
    <n v="1745226"/>
    <s v="$57,798"/>
    <n v="57798"/>
    <s v="1.6B"/>
    <n v="1.085E-3"/>
    <n v="1.0787432889242394E-3"/>
    <n v="6.2567110757606129E-6"/>
    <x v="1"/>
    <n v="1.0913297123315228E-3"/>
    <n v="1.0912930000000001E-3"/>
    <x v="1"/>
    <x v="4"/>
    <n v="5.7999999999999996E-3"/>
  </r>
  <r>
    <x v="195"/>
    <x v="1"/>
    <x v="196"/>
    <s v="$0.00005854"/>
    <x v="1"/>
    <n v="2.0000000000000001E-4"/>
    <s v="$1,739,324"/>
    <n v="1739324"/>
    <s v="$28,022"/>
    <n v="28022"/>
    <s v="29.7B"/>
    <n v="5.8539999999999999E-5"/>
    <n v="5.8528294341131776E-5"/>
    <n v="1.1705658868222551E-8"/>
    <x v="1"/>
    <n v="5.8551710342068412E-5"/>
    <n v="5.8551707999999999E-5"/>
    <x v="1"/>
    <x v="4"/>
    <n v="2.0000000000000001E-4"/>
  </r>
  <r>
    <x v="196"/>
    <x v="0"/>
    <x v="197"/>
    <s v="$0.007252"/>
    <x v="1"/>
    <n v="0"/>
    <s v="$1,738,739"/>
    <n v="1738739"/>
    <s v="$52"/>
    <n v="52"/>
    <s v="239.74M"/>
    <n v="7.2519999999999998E-3"/>
    <n v="7.2519999999999998E-3"/>
    <n v="0"/>
    <x v="1"/>
    <n v="7.2519999999999998E-3"/>
    <n v="7.2519999999999998E-3"/>
    <x v="1"/>
    <x v="4"/>
    <n v="0"/>
  </r>
  <r>
    <x v="197"/>
    <x v="0"/>
    <x v="198"/>
    <s v="$0.001871"/>
    <x v="1"/>
    <n v="2.5999999999999999E-3"/>
    <s v="$1,736,200"/>
    <n v="1736200"/>
    <s v="$105,335"/>
    <n v="105335"/>
    <s v="927.74M"/>
    <n v="1.8710000000000001E-3"/>
    <n v="1.8661480151605826E-3"/>
    <n v="4.8519848394174264E-6"/>
    <x v="1"/>
    <n v="1.8758772809304193E-3"/>
    <n v="1.8758645999999999E-3"/>
    <x v="1"/>
    <x v="4"/>
    <n v="2.5999999999999999E-3"/>
  </r>
  <r>
    <x v="198"/>
    <x v="1"/>
    <x v="199"/>
    <s v="$0.003466"/>
    <x v="1"/>
    <n v="0"/>
    <s v="$1,733,212"/>
    <n v="1733212"/>
    <s v="N/A"/>
    <e v="#VALUE!"/>
    <s v="500M"/>
    <n v="3.4659999999999999E-3"/>
    <n v="3.4659999999999999E-3"/>
    <n v="0"/>
    <x v="1"/>
    <n v="3.4659999999999999E-3"/>
    <n v="3.4659999999999999E-3"/>
    <x v="1"/>
    <x v="4"/>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4B0F43-177B-4DDC-9D42-8936110B1503}" name="Task3"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9">
  <location ref="A3:B9" firstHeaderRow="1" firstDataRow="1" firstDataCol="1" rowPageCount="1" colPageCount="1"/>
  <pivotFields count="3">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Page" allDrilled="1" subtotalTop="0" showAll="0" dataSourceSort="1" defaultSubtotal="0" defaultAttributeDrillState="1"/>
  </pivotFields>
  <rowFields count="1">
    <field x="0"/>
  </rowFields>
  <rowItems count="6">
    <i>
      <x v="4"/>
    </i>
    <i>
      <x/>
    </i>
    <i>
      <x v="3"/>
    </i>
    <i>
      <x v="1"/>
    </i>
    <i>
      <x v="2"/>
    </i>
    <i t="grand">
      <x/>
    </i>
  </rowItems>
  <colItems count="1">
    <i/>
  </colItems>
  <pageFields count="1">
    <pageField fld="2" hier="4" name="[Crypto_Data__2].[Price Category].&amp;[$0-$50]" cap="$0-$50"/>
  </pageFields>
  <dataFields count="1">
    <dataField name="sum of Volume_Numeric" fld="1" subtotal="count" baseField="0" baseItem="0"/>
  </dataFields>
  <chartFormats count="12">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0" count="1" selected="0">
            <x v="4"/>
          </reference>
        </references>
      </pivotArea>
    </chartFormat>
    <chartFormat chart="4" format="2">
      <pivotArea type="data" outline="0" fieldPosition="0">
        <references count="2">
          <reference field="4294967294" count="1" selected="0">
            <x v="0"/>
          </reference>
          <reference field="0" count="1" selected="0">
            <x v="0"/>
          </reference>
        </references>
      </pivotArea>
    </chartFormat>
    <chartFormat chart="4" format="3">
      <pivotArea type="data" outline="0" fieldPosition="0">
        <references count="2">
          <reference field="4294967294" count="1" selected="0">
            <x v="0"/>
          </reference>
          <reference field="0" count="1" selected="0">
            <x v="3"/>
          </reference>
        </references>
      </pivotArea>
    </chartFormat>
    <chartFormat chart="4" format="4">
      <pivotArea type="data" outline="0" fieldPosition="0">
        <references count="2">
          <reference field="4294967294" count="1" selected="0">
            <x v="0"/>
          </reference>
          <reference field="0" count="1" selected="0">
            <x v="1"/>
          </reference>
        </references>
      </pivotArea>
    </chartFormat>
    <chartFormat chart="4" format="5">
      <pivotArea type="data" outline="0" fieldPosition="0">
        <references count="2">
          <reference field="4294967294" count="1" selected="0">
            <x v="0"/>
          </reference>
          <reference field="0" count="1" selected="0">
            <x v="2"/>
          </reference>
        </references>
      </pivotArea>
    </chartFormat>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0" count="1" selected="0">
            <x v="4"/>
          </reference>
        </references>
      </pivotArea>
    </chartFormat>
    <chartFormat chart="6" format="14">
      <pivotArea type="data" outline="0" fieldPosition="0">
        <references count="2">
          <reference field="4294967294" count="1" selected="0">
            <x v="0"/>
          </reference>
          <reference field="0" count="1" selected="0">
            <x v="0"/>
          </reference>
        </references>
      </pivotArea>
    </chartFormat>
    <chartFormat chart="6" format="15">
      <pivotArea type="data" outline="0" fieldPosition="0">
        <references count="2">
          <reference field="4294967294" count="1" selected="0">
            <x v="0"/>
          </reference>
          <reference field="0" count="1" selected="0">
            <x v="3"/>
          </reference>
        </references>
      </pivotArea>
    </chartFormat>
    <chartFormat chart="6" format="16">
      <pivotArea type="data" outline="0" fieldPosition="0">
        <references count="2">
          <reference field="4294967294" count="1" selected="0">
            <x v="0"/>
          </reference>
          <reference field="0" count="1" selected="0">
            <x v="1"/>
          </reference>
        </references>
      </pivotArea>
    </chartFormat>
    <chartFormat chart="6" format="17">
      <pivotArea type="data" outline="0" fieldPosition="0">
        <references count="2">
          <reference field="4294967294" count="1" selected="0">
            <x v="0"/>
          </reference>
          <reference field="0" count="1" selected="0">
            <x v="2"/>
          </reference>
        </references>
      </pivotArea>
    </chartFormat>
  </chartFormats>
  <pivotHierarchies count="23">
    <pivotHierarchy dragToData="1"/>
    <pivotHierarchy dragToData="1"/>
    <pivotHierarchy dragToData="1"/>
    <pivotHierarchy dragToData="1"/>
    <pivotHierarchy multipleItemSelectionAllowed="1" dragToData="1">
      <members count="1" level="1">
        <member name="[Crypto_Data__2].[Price Category].&amp;[$0-$5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22">
      <autoFilter ref="A1">
        <filterColumn colId="0">
          <top10 val="5" filterVal="5"/>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rypto_Analysis_Task.xlsm!Crypto_Data__2">
        <x15:activeTabTopLevelEntity name="[Crypto_Data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71CAC04-3ECA-4CB1-A012-BB534EA09EE9}" name="Task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20" firstHeaderRow="1" firstDataRow="1" firstDataCol="1" rowPageCount="1" colPageCount="1"/>
  <pivotFields count="20">
    <pivotField axis="axisRow" showAll="0" measureFilter="1">
      <items count="200">
        <item x="12"/>
        <item x="141"/>
        <item x="72"/>
        <item x="192"/>
        <item x="88"/>
        <item x="98"/>
        <item x="175"/>
        <item x="118"/>
        <item x="34"/>
        <item x="85"/>
        <item x="178"/>
        <item x="107"/>
        <item x="91"/>
        <item x="76"/>
        <item x="41"/>
        <item x="53"/>
        <item x="44"/>
        <item x="46"/>
        <item x="77"/>
        <item x="45"/>
        <item x="35"/>
        <item x="64"/>
        <item x="54"/>
        <item x="124"/>
        <item x="177"/>
        <item x="36"/>
        <item x="112"/>
        <item x="153"/>
        <item x="27"/>
        <item x="113"/>
        <item x="43"/>
        <item x="110"/>
        <item x="0"/>
        <item x="151"/>
        <item x="14"/>
        <item x="4"/>
        <item x="164"/>
        <item x="57"/>
        <item x="82"/>
        <item x="17"/>
        <item x="96"/>
        <item x="9"/>
        <item x="194"/>
        <item x="159"/>
        <item x="52"/>
        <item x="174"/>
        <item x="136"/>
        <item x="83"/>
        <item x="48"/>
        <item x="120"/>
        <item x="86"/>
        <item x="90"/>
        <item x="163"/>
        <item x="181"/>
        <item x="62"/>
        <item x="19"/>
        <item x="172"/>
        <item x="150"/>
        <item x="40"/>
        <item x="16"/>
        <item x="7"/>
        <item x="81"/>
        <item x="31"/>
        <item x="38"/>
        <item x="146"/>
        <item x="1"/>
        <item x="196"/>
        <item x="95"/>
        <item x="187"/>
        <item x="78"/>
        <item x="22"/>
        <item x="138"/>
        <item x="20"/>
        <item x="15"/>
        <item x="131"/>
        <item x="108"/>
        <item x="158"/>
        <item x="75"/>
        <item x="59"/>
        <item x="169"/>
        <item x="93"/>
        <item x="198"/>
        <item x="28"/>
        <item x="47"/>
        <item x="100"/>
        <item x="170"/>
        <item x="190"/>
        <item x="133"/>
        <item x="106"/>
        <item x="155"/>
        <item x="109"/>
        <item x="197"/>
        <item x="165"/>
        <item x="102"/>
        <item x="21"/>
        <item x="84"/>
        <item x="161"/>
        <item x="123"/>
        <item x="142"/>
        <item x="23"/>
        <item x="173"/>
        <item x="94"/>
        <item x="180"/>
        <item x="184"/>
        <item x="71"/>
        <item x="51"/>
        <item x="70"/>
        <item x="69"/>
        <item x="87"/>
        <item x="160"/>
        <item x="156"/>
        <item x="191"/>
        <item x="179"/>
        <item x="99"/>
        <item x="92"/>
        <item x="24"/>
        <item x="147"/>
        <item x="183"/>
        <item x="63"/>
        <item x="137"/>
        <item x="134"/>
        <item x="168"/>
        <item x="132"/>
        <item x="167"/>
        <item x="128"/>
        <item x="66"/>
        <item x="80"/>
        <item x="189"/>
        <item x="56"/>
        <item x="33"/>
        <item x="157"/>
        <item x="154"/>
        <item x="117"/>
        <item x="103"/>
        <item x="111"/>
        <item x="166"/>
        <item x="13"/>
        <item x="193"/>
        <item x="60"/>
        <item x="58"/>
        <item x="162"/>
        <item x="65"/>
        <item x="101"/>
        <item x="10"/>
        <item x="74"/>
        <item x="135"/>
        <item x="186"/>
        <item x="114"/>
        <item x="97"/>
        <item x="5"/>
        <item x="176"/>
        <item x="67"/>
        <item x="50"/>
        <item x="119"/>
        <item x="122"/>
        <item x="144"/>
        <item x="37"/>
        <item x="121"/>
        <item x="145"/>
        <item x="127"/>
        <item x="115"/>
        <item x="104"/>
        <item x="61"/>
        <item x="126"/>
        <item x="116"/>
        <item x="3"/>
        <item x="182"/>
        <item x="171"/>
        <item x="42"/>
        <item x="55"/>
        <item x="149"/>
        <item x="8"/>
        <item x="125"/>
        <item x="195"/>
        <item x="188"/>
        <item x="148"/>
        <item x="6"/>
        <item x="25"/>
        <item x="39"/>
        <item x="139"/>
        <item x="130"/>
        <item x="26"/>
        <item x="105"/>
        <item x="68"/>
        <item x="18"/>
        <item x="129"/>
        <item x="140"/>
        <item x="30"/>
        <item x="49"/>
        <item x="185"/>
        <item x="73"/>
        <item x="152"/>
        <item x="79"/>
        <item x="2"/>
        <item x="32"/>
        <item x="11"/>
        <item x="29"/>
        <item x="143"/>
        <item x="89"/>
        <item t="default"/>
      </items>
    </pivotField>
    <pivotField showAll="0"/>
    <pivotField axis="axisRow" showAll="0" sortType="descending">
      <items count="201">
        <item x="12"/>
        <item x="142"/>
        <item x="73"/>
        <item x="9"/>
        <item x="193"/>
        <item x="86"/>
        <item x="89"/>
        <item x="99"/>
        <item x="93"/>
        <item x="176"/>
        <item x="119"/>
        <item x="53"/>
        <item x="34"/>
        <item x="179"/>
        <item x="108"/>
        <item x="77"/>
        <item x="41"/>
        <item x="44"/>
        <item x="46"/>
        <item x="78"/>
        <item x="57"/>
        <item x="45"/>
        <item x="35"/>
        <item x="17"/>
        <item x="54"/>
        <item x="36"/>
        <item x="178"/>
        <item x="48"/>
        <item x="113"/>
        <item x="27"/>
        <item x="154"/>
        <item x="114"/>
        <item x="152"/>
        <item x="87"/>
        <item x="43"/>
        <item x="4"/>
        <item x="83"/>
        <item x="165"/>
        <item x="111"/>
        <item x="0"/>
        <item x="14"/>
        <item x="97"/>
        <item x="125"/>
        <item x="195"/>
        <item x="175"/>
        <item x="52"/>
        <item x="137"/>
        <item x="177"/>
        <item x="186"/>
        <item x="84"/>
        <item x="182"/>
        <item x="91"/>
        <item x="62"/>
        <item x="144"/>
        <item x="173"/>
        <item x="31"/>
        <item x="16"/>
        <item x="197"/>
        <item x="7"/>
        <item x="40"/>
        <item x="38"/>
        <item x="147"/>
        <item x="1"/>
        <item x="82"/>
        <item x="96"/>
        <item x="79"/>
        <item x="139"/>
        <item x="15"/>
        <item x="132"/>
        <item x="159"/>
        <item x="20"/>
        <item x="76"/>
        <item x="170"/>
        <item x="94"/>
        <item x="199"/>
        <item x="59"/>
        <item x="47"/>
        <item x="148"/>
        <item x="101"/>
        <item x="171"/>
        <item x="191"/>
        <item x="134"/>
        <item x="107"/>
        <item x="156"/>
        <item x="110"/>
        <item x="198"/>
        <item x="166"/>
        <item x="196"/>
        <item x="151"/>
        <item x="21"/>
        <item x="103"/>
        <item x="85"/>
        <item x="81"/>
        <item x="162"/>
        <item x="143"/>
        <item x="23"/>
        <item x="124"/>
        <item x="42"/>
        <item x="174"/>
        <item x="19"/>
        <item x="181"/>
        <item x="69"/>
        <item x="72"/>
        <item x="70"/>
        <item x="95"/>
        <item x="88"/>
        <item x="133"/>
        <item x="185"/>
        <item x="161"/>
        <item x="51"/>
        <item x="157"/>
        <item x="183"/>
        <item x="180"/>
        <item x="100"/>
        <item x="63"/>
        <item x="64"/>
        <item x="92"/>
        <item x="184"/>
        <item x="138"/>
        <item x="136"/>
        <item x="135"/>
        <item x="169"/>
        <item x="168"/>
        <item x="66"/>
        <item x="190"/>
        <item x="33"/>
        <item x="129"/>
        <item x="118"/>
        <item x="104"/>
        <item x="112"/>
        <item x="167"/>
        <item x="68"/>
        <item x="13"/>
        <item x="158"/>
        <item x="194"/>
        <item x="187"/>
        <item x="60"/>
        <item x="163"/>
        <item x="65"/>
        <item x="10"/>
        <item x="75"/>
        <item x="102"/>
        <item x="122"/>
        <item x="115"/>
        <item x="98"/>
        <item x="160"/>
        <item x="67"/>
        <item x="37"/>
        <item x="5"/>
        <item x="50"/>
        <item x="149"/>
        <item x="123"/>
        <item x="145"/>
        <item x="146"/>
        <item x="128"/>
        <item x="116"/>
        <item x="105"/>
        <item x="126"/>
        <item x="127"/>
        <item x="172"/>
        <item x="117"/>
        <item x="55"/>
        <item x="150"/>
        <item x="8"/>
        <item x="189"/>
        <item x="25"/>
        <item x="6"/>
        <item x="22"/>
        <item x="28"/>
        <item x="120"/>
        <item x="3"/>
        <item x="24"/>
        <item x="39"/>
        <item x="131"/>
        <item x="140"/>
        <item x="106"/>
        <item x="26"/>
        <item x="18"/>
        <item x="130"/>
        <item x="141"/>
        <item x="155"/>
        <item x="49"/>
        <item x="30"/>
        <item x="121"/>
        <item x="164"/>
        <item x="74"/>
        <item x="153"/>
        <item x="80"/>
        <item x="58"/>
        <item x="2"/>
        <item x="192"/>
        <item x="61"/>
        <item x="188"/>
        <item x="109"/>
        <item x="71"/>
        <item x="32"/>
        <item x="29"/>
        <item x="11"/>
        <item x="56"/>
        <item x="9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dataField="1" showAll="0"/>
    <pivotField axis="axisPage" showAll="0">
      <items count="3">
        <item x="0"/>
        <item x="1"/>
        <item t="default"/>
      </items>
    </pivotField>
    <pivotField showAll="0"/>
    <pivotField showAll="0"/>
    <pivotField showAll="0"/>
    <pivotField showAll="0"/>
    <pivotField showAll="0"/>
  </pivotFields>
  <rowFields count="2">
    <field x="0"/>
    <field x="2"/>
  </rowFields>
  <rowItems count="17">
    <i>
      <x v="5"/>
    </i>
    <i r="1">
      <x v="7"/>
    </i>
    <i>
      <x v="32"/>
    </i>
    <i r="1">
      <x v="39"/>
    </i>
    <i>
      <x v="35"/>
    </i>
    <i r="1">
      <x v="35"/>
    </i>
    <i>
      <x v="37"/>
    </i>
    <i r="1">
      <x v="20"/>
    </i>
    <i>
      <x v="65"/>
    </i>
    <i r="1">
      <x v="62"/>
    </i>
    <i>
      <x v="149"/>
    </i>
    <i r="1">
      <x v="148"/>
    </i>
    <i>
      <x v="169"/>
    </i>
    <i r="1">
      <x v="161"/>
    </i>
    <i>
      <x v="195"/>
    </i>
    <i r="1">
      <x v="197"/>
    </i>
    <i t="grand">
      <x/>
    </i>
  </rowItems>
  <colItems count="1">
    <i/>
  </colItems>
  <pageFields count="1">
    <pageField fld="14" item="0" hier="-1"/>
  </pageFields>
  <dataFields count="1">
    <dataField name="Sum of PriceChange" fld="13" baseField="0" baseItem="0"/>
  </dataFields>
  <chartFormats count="2">
    <chartFormat chart="2"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7DE75B-27B9-4586-995E-DA43040864E3}" name="Task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D24" firstHeaderRow="0" firstDataRow="1" firstDataCol="1" rowPageCount="1" colPageCount="1"/>
  <pivotFields count="20">
    <pivotField axis="axisRow" showAll="0" measureFilter="1">
      <items count="200">
        <item x="12"/>
        <item x="141"/>
        <item x="72"/>
        <item x="192"/>
        <item x="88"/>
        <item x="98"/>
        <item x="175"/>
        <item x="118"/>
        <item x="34"/>
        <item x="85"/>
        <item x="178"/>
        <item x="107"/>
        <item x="91"/>
        <item x="76"/>
        <item x="41"/>
        <item x="53"/>
        <item x="44"/>
        <item x="46"/>
        <item x="77"/>
        <item x="45"/>
        <item x="35"/>
        <item x="64"/>
        <item x="54"/>
        <item x="124"/>
        <item x="177"/>
        <item x="36"/>
        <item x="112"/>
        <item x="153"/>
        <item x="27"/>
        <item x="113"/>
        <item x="43"/>
        <item x="110"/>
        <item x="0"/>
        <item x="151"/>
        <item x="14"/>
        <item x="4"/>
        <item x="164"/>
        <item x="57"/>
        <item x="82"/>
        <item x="17"/>
        <item x="96"/>
        <item x="9"/>
        <item x="194"/>
        <item x="159"/>
        <item x="52"/>
        <item x="174"/>
        <item x="136"/>
        <item x="83"/>
        <item x="48"/>
        <item x="120"/>
        <item x="86"/>
        <item x="90"/>
        <item x="163"/>
        <item x="181"/>
        <item x="62"/>
        <item x="19"/>
        <item x="172"/>
        <item x="150"/>
        <item x="40"/>
        <item x="16"/>
        <item x="7"/>
        <item x="81"/>
        <item x="31"/>
        <item x="38"/>
        <item x="146"/>
        <item x="1"/>
        <item x="196"/>
        <item x="95"/>
        <item x="187"/>
        <item x="78"/>
        <item x="22"/>
        <item x="138"/>
        <item x="20"/>
        <item x="15"/>
        <item x="131"/>
        <item x="108"/>
        <item x="158"/>
        <item x="75"/>
        <item x="59"/>
        <item x="169"/>
        <item x="93"/>
        <item x="198"/>
        <item x="28"/>
        <item x="47"/>
        <item x="100"/>
        <item x="170"/>
        <item x="190"/>
        <item x="133"/>
        <item x="106"/>
        <item x="155"/>
        <item x="109"/>
        <item x="197"/>
        <item x="165"/>
        <item x="102"/>
        <item x="21"/>
        <item x="84"/>
        <item x="161"/>
        <item x="123"/>
        <item x="142"/>
        <item x="23"/>
        <item x="173"/>
        <item x="94"/>
        <item x="180"/>
        <item x="184"/>
        <item x="71"/>
        <item x="51"/>
        <item x="70"/>
        <item x="69"/>
        <item x="87"/>
        <item x="160"/>
        <item x="156"/>
        <item x="191"/>
        <item x="179"/>
        <item x="99"/>
        <item x="92"/>
        <item x="24"/>
        <item x="147"/>
        <item x="183"/>
        <item x="63"/>
        <item x="137"/>
        <item x="134"/>
        <item x="168"/>
        <item x="132"/>
        <item x="167"/>
        <item x="128"/>
        <item x="66"/>
        <item x="80"/>
        <item x="189"/>
        <item x="56"/>
        <item x="33"/>
        <item x="157"/>
        <item x="154"/>
        <item x="117"/>
        <item x="103"/>
        <item x="111"/>
        <item x="166"/>
        <item x="13"/>
        <item x="193"/>
        <item x="60"/>
        <item x="58"/>
        <item x="162"/>
        <item x="65"/>
        <item x="101"/>
        <item x="10"/>
        <item x="74"/>
        <item x="135"/>
        <item x="186"/>
        <item x="114"/>
        <item x="97"/>
        <item x="5"/>
        <item x="176"/>
        <item x="67"/>
        <item x="50"/>
        <item x="119"/>
        <item x="122"/>
        <item x="144"/>
        <item x="37"/>
        <item x="121"/>
        <item x="145"/>
        <item x="127"/>
        <item x="115"/>
        <item x="104"/>
        <item x="61"/>
        <item x="126"/>
        <item x="116"/>
        <item x="3"/>
        <item x="182"/>
        <item x="171"/>
        <item x="42"/>
        <item x="55"/>
        <item x="149"/>
        <item x="8"/>
        <item x="125"/>
        <item x="195"/>
        <item x="188"/>
        <item x="148"/>
        <item x="6"/>
        <item x="25"/>
        <item x="39"/>
        <item x="139"/>
        <item x="130"/>
        <item x="26"/>
        <item x="105"/>
        <item x="68"/>
        <item x="18"/>
        <item x="129"/>
        <item x="140"/>
        <item x="30"/>
        <item x="49"/>
        <item x="185"/>
        <item x="73"/>
        <item x="152"/>
        <item x="79"/>
        <item x="2"/>
        <item x="32"/>
        <item x="11"/>
        <item x="29"/>
        <item x="143"/>
        <item x="89"/>
        <item t="default"/>
      </items>
    </pivotField>
    <pivotField showAll="0"/>
    <pivotField axis="axisRow" showAll="0">
      <items count="201">
        <item x="12"/>
        <item x="142"/>
        <item x="73"/>
        <item x="9"/>
        <item x="193"/>
        <item x="86"/>
        <item x="89"/>
        <item x="99"/>
        <item x="93"/>
        <item x="176"/>
        <item x="119"/>
        <item x="53"/>
        <item x="34"/>
        <item x="179"/>
        <item x="108"/>
        <item x="77"/>
        <item x="41"/>
        <item x="44"/>
        <item x="46"/>
        <item x="78"/>
        <item x="57"/>
        <item x="45"/>
        <item x="35"/>
        <item x="17"/>
        <item x="54"/>
        <item x="36"/>
        <item x="178"/>
        <item x="48"/>
        <item x="113"/>
        <item x="27"/>
        <item x="154"/>
        <item x="114"/>
        <item x="152"/>
        <item x="87"/>
        <item x="43"/>
        <item x="4"/>
        <item x="83"/>
        <item x="165"/>
        <item x="111"/>
        <item x="0"/>
        <item x="14"/>
        <item x="97"/>
        <item x="125"/>
        <item x="195"/>
        <item x="175"/>
        <item x="52"/>
        <item x="137"/>
        <item x="177"/>
        <item x="186"/>
        <item x="84"/>
        <item x="182"/>
        <item x="91"/>
        <item x="62"/>
        <item x="144"/>
        <item x="173"/>
        <item x="31"/>
        <item x="16"/>
        <item x="197"/>
        <item x="7"/>
        <item x="40"/>
        <item x="38"/>
        <item x="147"/>
        <item x="1"/>
        <item x="82"/>
        <item x="96"/>
        <item x="79"/>
        <item x="139"/>
        <item x="15"/>
        <item x="132"/>
        <item x="159"/>
        <item x="20"/>
        <item x="76"/>
        <item x="170"/>
        <item x="94"/>
        <item x="199"/>
        <item x="59"/>
        <item x="47"/>
        <item x="148"/>
        <item x="101"/>
        <item x="171"/>
        <item x="191"/>
        <item x="134"/>
        <item x="107"/>
        <item x="156"/>
        <item x="110"/>
        <item x="198"/>
        <item x="166"/>
        <item x="196"/>
        <item x="151"/>
        <item x="21"/>
        <item x="103"/>
        <item x="85"/>
        <item x="81"/>
        <item x="162"/>
        <item x="143"/>
        <item x="23"/>
        <item x="124"/>
        <item x="42"/>
        <item x="174"/>
        <item x="19"/>
        <item x="181"/>
        <item x="69"/>
        <item x="72"/>
        <item x="70"/>
        <item x="95"/>
        <item x="88"/>
        <item x="133"/>
        <item x="185"/>
        <item x="161"/>
        <item x="51"/>
        <item x="157"/>
        <item x="183"/>
        <item x="180"/>
        <item x="100"/>
        <item x="63"/>
        <item x="64"/>
        <item x="92"/>
        <item x="184"/>
        <item x="138"/>
        <item x="136"/>
        <item x="135"/>
        <item x="169"/>
        <item x="168"/>
        <item x="66"/>
        <item x="190"/>
        <item x="33"/>
        <item x="129"/>
        <item x="118"/>
        <item x="104"/>
        <item x="112"/>
        <item x="167"/>
        <item x="68"/>
        <item x="13"/>
        <item x="158"/>
        <item x="194"/>
        <item x="187"/>
        <item x="60"/>
        <item x="163"/>
        <item x="65"/>
        <item x="10"/>
        <item x="75"/>
        <item x="102"/>
        <item x="122"/>
        <item x="115"/>
        <item x="98"/>
        <item x="160"/>
        <item x="67"/>
        <item x="37"/>
        <item x="5"/>
        <item x="50"/>
        <item x="149"/>
        <item x="123"/>
        <item x="145"/>
        <item x="146"/>
        <item x="128"/>
        <item x="116"/>
        <item x="105"/>
        <item x="126"/>
        <item x="127"/>
        <item x="172"/>
        <item x="117"/>
        <item x="55"/>
        <item x="150"/>
        <item x="8"/>
        <item x="189"/>
        <item x="25"/>
        <item x="6"/>
        <item x="22"/>
        <item x="28"/>
        <item x="120"/>
        <item x="3"/>
        <item x="24"/>
        <item x="39"/>
        <item x="131"/>
        <item x="140"/>
        <item x="106"/>
        <item x="26"/>
        <item x="18"/>
        <item x="130"/>
        <item x="141"/>
        <item x="155"/>
        <item x="49"/>
        <item x="30"/>
        <item x="121"/>
        <item x="164"/>
        <item x="74"/>
        <item x="153"/>
        <item x="80"/>
        <item x="58"/>
        <item x="2"/>
        <item x="192"/>
        <item x="61"/>
        <item x="188"/>
        <item x="109"/>
        <item x="71"/>
        <item x="32"/>
        <item x="29"/>
        <item x="11"/>
        <item x="56"/>
        <item x="90"/>
        <item t="default"/>
      </items>
    </pivotField>
    <pivotField showAll="0"/>
    <pivotField axis="axisPage" showAll="0">
      <items count="3">
        <item x="1"/>
        <item x="0"/>
        <item t="default"/>
      </items>
    </pivotField>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items count="3">
        <item x="1"/>
        <item h="1" x="0"/>
        <item t="default"/>
      </items>
    </pivotField>
    <pivotField showAll="0"/>
    <pivotField showAll="0"/>
  </pivotFields>
  <rowFields count="2">
    <field x="0"/>
    <field x="2"/>
  </rowFields>
  <rowItems count="21">
    <i>
      <x v="14"/>
    </i>
    <i r="1">
      <x v="16"/>
    </i>
    <i>
      <x v="30"/>
    </i>
    <i r="1">
      <x v="34"/>
    </i>
    <i>
      <x v="49"/>
    </i>
    <i r="1">
      <x v="183"/>
    </i>
    <i>
      <x v="72"/>
    </i>
    <i r="1">
      <x v="70"/>
    </i>
    <i>
      <x v="78"/>
    </i>
    <i r="1">
      <x v="75"/>
    </i>
    <i>
      <x v="100"/>
    </i>
    <i r="1">
      <x v="98"/>
    </i>
    <i>
      <x v="120"/>
    </i>
    <i r="1">
      <x v="120"/>
    </i>
    <i>
      <x v="178"/>
    </i>
    <i r="1">
      <x v="172"/>
    </i>
    <i>
      <x v="193"/>
    </i>
    <i r="1">
      <x v="189"/>
    </i>
    <i>
      <x v="196"/>
    </i>
    <i r="1">
      <x v="196"/>
    </i>
    <i t="grand">
      <x/>
    </i>
  </rowItems>
  <colFields count="1">
    <field x="-2"/>
  </colFields>
  <colItems count="3">
    <i>
      <x/>
    </i>
    <i i="1">
      <x v="1"/>
    </i>
    <i i="2">
      <x v="2"/>
    </i>
  </colItems>
  <pageFields count="1">
    <pageField fld="4" hier="-1"/>
  </pageFields>
  <dataFields count="3">
    <dataField name="Sum of Price_24h" fld="15" baseField="0" baseItem="0"/>
    <dataField name="Sum of Price_7d" fld="16" baseField="0" baseItem="0"/>
    <dataField name="Sum of 1h Change (%)" fld="5"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FE9A8B3-9742-4710-9BFF-6E7C253FFAC1}" name="Task6" cacheId="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D204" firstHeaderRow="0" firstDataRow="1" firstDataCol="2" rowPageCount="1" colPageCount="1"/>
  <pivotFields count="20">
    <pivotField axis="axisRow" dataField="1" compact="0" outline="0" showAll="0" sortType="ascending" defaultSubtotal="0">
      <items count="199">
        <item x="12"/>
        <item x="141"/>
        <item x="72"/>
        <item x="192"/>
        <item x="88"/>
        <item x="98"/>
        <item x="175"/>
        <item x="118"/>
        <item x="34"/>
        <item x="85"/>
        <item x="178"/>
        <item x="107"/>
        <item x="91"/>
        <item x="76"/>
        <item x="41"/>
        <item x="53"/>
        <item x="44"/>
        <item x="46"/>
        <item x="77"/>
        <item x="45"/>
        <item x="35"/>
        <item x="64"/>
        <item x="54"/>
        <item x="124"/>
        <item x="177"/>
        <item x="36"/>
        <item x="112"/>
        <item x="153"/>
        <item x="27"/>
        <item x="113"/>
        <item x="43"/>
        <item x="110"/>
        <item x="0"/>
        <item x="151"/>
        <item x="14"/>
        <item x="4"/>
        <item x="164"/>
        <item x="57"/>
        <item x="82"/>
        <item x="17"/>
        <item x="96"/>
        <item x="9"/>
        <item x="194"/>
        <item x="159"/>
        <item x="52"/>
        <item x="174"/>
        <item x="136"/>
        <item x="83"/>
        <item x="48"/>
        <item x="120"/>
        <item x="86"/>
        <item x="90"/>
        <item x="163"/>
        <item x="181"/>
        <item x="62"/>
        <item x="19"/>
        <item x="172"/>
        <item x="150"/>
        <item x="40"/>
        <item x="16"/>
        <item x="7"/>
        <item x="81"/>
        <item x="31"/>
        <item x="38"/>
        <item x="146"/>
        <item x="1"/>
        <item x="196"/>
        <item x="95"/>
        <item x="187"/>
        <item x="78"/>
        <item x="22"/>
        <item x="138"/>
        <item x="20"/>
        <item x="15"/>
        <item x="131"/>
        <item x="108"/>
        <item x="158"/>
        <item x="75"/>
        <item x="59"/>
        <item x="169"/>
        <item x="93"/>
        <item x="198"/>
        <item x="28"/>
        <item x="47"/>
        <item x="100"/>
        <item x="170"/>
        <item x="190"/>
        <item x="133"/>
        <item x="106"/>
        <item x="155"/>
        <item x="109"/>
        <item x="197"/>
        <item x="165"/>
        <item x="102"/>
        <item x="21"/>
        <item x="84"/>
        <item x="161"/>
        <item x="123"/>
        <item x="142"/>
        <item x="23"/>
        <item x="173"/>
        <item sd="0" x="94"/>
        <item x="180"/>
        <item x="184"/>
        <item x="71"/>
        <item x="51"/>
        <item x="70"/>
        <item x="69"/>
        <item x="87"/>
        <item x="160"/>
        <item x="156"/>
        <item x="191"/>
        <item x="179"/>
        <item x="99"/>
        <item x="92"/>
        <item x="24"/>
        <item x="147"/>
        <item x="183"/>
        <item x="63"/>
        <item x="137"/>
        <item x="134"/>
        <item x="168"/>
        <item x="132"/>
        <item x="167"/>
        <item x="128"/>
        <item x="66"/>
        <item x="80"/>
        <item x="189"/>
        <item x="56"/>
        <item x="33"/>
        <item x="157"/>
        <item x="154"/>
        <item x="117"/>
        <item x="103"/>
        <item x="111"/>
        <item x="166"/>
        <item x="13"/>
        <item x="193"/>
        <item x="60"/>
        <item x="58"/>
        <item x="162"/>
        <item x="65"/>
        <item x="101"/>
        <item x="10"/>
        <item x="74"/>
        <item x="135"/>
        <item x="186"/>
        <item x="114"/>
        <item x="97"/>
        <item x="5"/>
        <item x="176"/>
        <item x="67"/>
        <item x="50"/>
        <item x="119"/>
        <item x="122"/>
        <item x="144"/>
        <item x="37"/>
        <item x="121"/>
        <item x="145"/>
        <item x="127"/>
        <item x="115"/>
        <item x="104"/>
        <item x="61"/>
        <item x="126"/>
        <item x="116"/>
        <item x="3"/>
        <item x="182"/>
        <item x="171"/>
        <item x="42"/>
        <item x="55"/>
        <item x="149"/>
        <item x="8"/>
        <item x="125"/>
        <item x="195"/>
        <item x="188"/>
        <item x="148"/>
        <item x="6"/>
        <item x="25"/>
        <item x="39"/>
        <item x="139"/>
        <item x="130"/>
        <item x="26"/>
        <item x="105"/>
        <item x="68"/>
        <item x="18"/>
        <item x="129"/>
        <item x="140"/>
        <item x="30"/>
        <item x="49"/>
        <item x="185"/>
        <item x="73"/>
        <item x="152"/>
        <item x="79"/>
        <item x="2"/>
        <item x="32"/>
        <item x="11"/>
        <item x="29"/>
        <item x="143"/>
        <item x="89"/>
      </items>
      <autoSortScope>
        <pivotArea dataOnly="0" outline="0" fieldPosition="0">
          <references count="1">
            <reference field="4294967294" count="1" selected="0">
              <x v="0"/>
            </reference>
          </references>
        </pivotArea>
      </autoSortScope>
    </pivotField>
    <pivotField compact="0" outline="0" showAll="0" defaultSubtotal="0"/>
    <pivotField axis="axisRow" compact="0" outline="0" showAll="0" sortType="ascending" defaultSubtotal="0">
      <items count="200">
        <item x="12"/>
        <item x="142"/>
        <item x="73"/>
        <item x="9"/>
        <item x="193"/>
        <item x="86"/>
        <item x="89"/>
        <item x="99"/>
        <item x="93"/>
        <item x="176"/>
        <item x="119"/>
        <item x="53"/>
        <item x="34"/>
        <item x="179"/>
        <item x="108"/>
        <item x="77"/>
        <item x="41"/>
        <item x="44"/>
        <item x="46"/>
        <item x="78"/>
        <item x="57"/>
        <item x="45"/>
        <item x="35"/>
        <item x="17"/>
        <item x="54"/>
        <item x="36"/>
        <item x="178"/>
        <item x="48"/>
        <item x="113"/>
        <item x="27"/>
        <item x="154"/>
        <item x="114"/>
        <item x="152"/>
        <item x="87"/>
        <item x="43"/>
        <item x="4"/>
        <item x="83"/>
        <item x="165"/>
        <item x="111"/>
        <item x="0"/>
        <item x="14"/>
        <item x="97"/>
        <item x="125"/>
        <item x="195"/>
        <item x="175"/>
        <item x="52"/>
        <item x="137"/>
        <item x="177"/>
        <item x="186"/>
        <item x="84"/>
        <item x="182"/>
        <item x="91"/>
        <item x="62"/>
        <item x="144"/>
        <item x="173"/>
        <item x="31"/>
        <item x="16"/>
        <item x="197"/>
        <item x="7"/>
        <item x="40"/>
        <item x="38"/>
        <item x="147"/>
        <item x="1"/>
        <item x="82"/>
        <item x="96"/>
        <item x="79"/>
        <item x="139"/>
        <item x="15"/>
        <item x="132"/>
        <item x="159"/>
        <item x="20"/>
        <item x="76"/>
        <item x="170"/>
        <item x="94"/>
        <item x="199"/>
        <item x="59"/>
        <item x="47"/>
        <item x="148"/>
        <item x="101"/>
        <item x="171"/>
        <item x="191"/>
        <item x="134"/>
        <item x="107"/>
        <item x="156"/>
        <item x="110"/>
        <item x="198"/>
        <item x="166"/>
        <item x="196"/>
        <item x="151"/>
        <item x="21"/>
        <item x="103"/>
        <item x="85"/>
        <item x="81"/>
        <item x="162"/>
        <item x="143"/>
        <item x="23"/>
        <item x="124"/>
        <item x="42"/>
        <item x="174"/>
        <item x="19"/>
        <item x="181"/>
        <item x="69"/>
        <item x="72"/>
        <item x="70"/>
        <item x="95"/>
        <item x="88"/>
        <item x="133"/>
        <item x="185"/>
        <item x="161"/>
        <item x="51"/>
        <item x="157"/>
        <item x="183"/>
        <item x="180"/>
        <item x="100"/>
        <item x="63"/>
        <item x="64"/>
        <item x="92"/>
        <item x="184"/>
        <item x="138"/>
        <item x="136"/>
        <item x="135"/>
        <item x="169"/>
        <item x="168"/>
        <item x="66"/>
        <item x="190"/>
        <item x="33"/>
        <item x="129"/>
        <item x="118"/>
        <item x="104"/>
        <item x="112"/>
        <item x="167"/>
        <item x="68"/>
        <item x="13"/>
        <item x="158"/>
        <item x="194"/>
        <item x="187"/>
        <item x="60"/>
        <item x="163"/>
        <item x="65"/>
        <item x="10"/>
        <item x="75"/>
        <item x="102"/>
        <item x="122"/>
        <item x="115"/>
        <item x="98"/>
        <item x="160"/>
        <item x="67"/>
        <item x="37"/>
        <item x="5"/>
        <item x="50"/>
        <item x="149"/>
        <item x="123"/>
        <item x="145"/>
        <item x="146"/>
        <item x="128"/>
        <item x="116"/>
        <item x="105"/>
        <item x="126"/>
        <item x="127"/>
        <item x="172"/>
        <item x="117"/>
        <item x="55"/>
        <item x="150"/>
        <item x="8"/>
        <item x="189"/>
        <item x="25"/>
        <item x="6"/>
        <item x="22"/>
        <item x="28"/>
        <item x="120"/>
        <item x="3"/>
        <item x="24"/>
        <item x="39"/>
        <item x="131"/>
        <item x="140"/>
        <item x="106"/>
        <item x="26"/>
        <item x="18"/>
        <item x="130"/>
        <item x="141"/>
        <item x="155"/>
        <item x="49"/>
        <item x="30"/>
        <item x="121"/>
        <item x="164"/>
        <item x="74"/>
        <item x="153"/>
        <item x="80"/>
        <item x="58"/>
        <item x="2"/>
        <item x="192"/>
        <item x="61"/>
        <item x="188"/>
        <item x="109"/>
        <item x="71"/>
        <item x="32"/>
        <item x="29"/>
        <item x="11"/>
        <item x="56"/>
        <item x="9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5">
        <item x="4"/>
        <item x="2"/>
        <item x="1"/>
        <item x="3"/>
        <item x="0"/>
      </items>
    </pivotField>
    <pivotField dataField="1" compact="0" outline="0" showAll="0" defaultSubtotal="0"/>
  </pivotFields>
  <rowFields count="2">
    <field x="0"/>
    <field x="2"/>
  </rowFields>
  <rowItems count="201">
    <i>
      <x v="101"/>
    </i>
    <i>
      <x v="185"/>
      <x v="178"/>
    </i>
    <i>
      <x v="188"/>
      <x v="181"/>
    </i>
    <i>
      <x v="87"/>
      <x v="81"/>
    </i>
    <i>
      <x v="174"/>
      <x v="164"/>
    </i>
    <i>
      <x v="177"/>
      <x v="165"/>
    </i>
    <i>
      <x v="43"/>
      <x v="145"/>
    </i>
    <i>
      <x v="9"/>
      <x v="5"/>
    </i>
    <i>
      <x v="57"/>
      <x v="88"/>
    </i>
    <i>
      <x v="117"/>
      <x v="117"/>
    </i>
    <i>
      <x v="66"/>
      <x v="57"/>
    </i>
    <i>
      <x v="123"/>
      <x v="122"/>
    </i>
    <i>
      <x v="33"/>
      <x v="32"/>
    </i>
    <i>
      <x v="133"/>
      <x v="128"/>
    </i>
    <i>
      <x v="62"/>
      <x v="55"/>
    </i>
    <i>
      <x v="162"/>
      <x v="191"/>
    </i>
    <i>
      <x v="51"/>
      <x v="51"/>
    </i>
    <i>
      <x v="167"/>
      <x v="159"/>
    </i>
    <i>
      <x v="81"/>
      <x v="74"/>
    </i>
    <i>
      <x v="168"/>
      <x v="97"/>
    </i>
    <i>
      <x v="89"/>
      <x v="83"/>
    </i>
    <i>
      <x v="143"/>
      <x v="139"/>
    </i>
    <i>
      <x v="151"/>
      <x v="146"/>
    </i>
    <i>
      <x v="20"/>
      <x v="22"/>
    </i>
    <i>
      <x v="161"/>
      <x v="156"/>
    </i>
    <i>
      <x v="13"/>
      <x v="15"/>
    </i>
    <i>
      <x v="122"/>
      <x v="106"/>
    </i>
    <i>
      <x v="70"/>
      <x v="167"/>
    </i>
    <i>
      <x v="16"/>
      <x v="17"/>
    </i>
    <i>
      <x v="173"/>
      <x v="87"/>
    </i>
    <i>
      <x v="180"/>
      <x v="173"/>
    </i>
    <i>
      <x v="106"/>
      <x v="103"/>
    </i>
    <i>
      <x v="92"/>
      <x v="86"/>
    </i>
    <i>
      <x v="82"/>
      <x v="168"/>
    </i>
    <i>
      <x v="198"/>
      <x v="199"/>
    </i>
    <i>
      <x v="12"/>
      <x v="116"/>
    </i>
    <i>
      <x v="130"/>
      <x v="133"/>
    </i>
    <i>
      <x v="127"/>
      <x v="124"/>
    </i>
    <i>
      <x v="175"/>
      <x v="150"/>
    </i>
    <i>
      <x v="187"/>
      <x v="182"/>
    </i>
    <i>
      <x v="72"/>
      <x v="70"/>
    </i>
    <i>
      <x v="67"/>
      <x v="64"/>
    </i>
    <i>
      <x v="134"/>
      <x v="129"/>
    </i>
    <i>
      <x v="153"/>
      <x v="169"/>
    </i>
    <i>
      <x v="156"/>
      <x v="147"/>
    </i>
    <i>
      <x v="108"/>
      <x v="105"/>
    </i>
    <i>
      <x v="34"/>
      <x v="40"/>
    </i>
    <i>
      <x v="176"/>
      <x v="166"/>
    </i>
    <i>
      <x v="145"/>
      <x v="119"/>
    </i>
    <i>
      <x v="165"/>
      <x v="170"/>
    </i>
    <i>
      <x v="15"/>
      <x v="11"/>
    </i>
    <i>
      <x v="40"/>
      <x v="41"/>
    </i>
    <i>
      <x v="22"/>
      <x v="24"/>
    </i>
    <i>
      <x v="197"/>
      <x v="53"/>
    </i>
    <i>
      <x v="49"/>
      <x v="183"/>
    </i>
    <i>
      <x v="105"/>
      <x v="109"/>
    </i>
    <i>
      <x v="24"/>
      <x v="26"/>
    </i>
    <i>
      <x v="171"/>
      <x v="163"/>
    </i>
    <i>
      <x v="14"/>
      <x v="16"/>
    </i>
    <i>
      <x v="27"/>
      <x v="30"/>
    </i>
    <i>
      <x v="142"/>
      <x v="141"/>
    </i>
    <i>
      <x v="189"/>
      <x v="48"/>
    </i>
    <i>
      <x v="39"/>
      <x v="23"/>
    </i>
    <i>
      <x v="186"/>
      <x v="179"/>
    </i>
    <i>
      <x v="1"/>
      <x v="1"/>
    </i>
    <i>
      <x v="115"/>
      <x v="171"/>
    </i>
    <i>
      <x v="75"/>
      <x v="193"/>
    </i>
    <i>
      <x v="104"/>
      <x v="102"/>
    </i>
    <i>
      <x v="71"/>
      <x v="66"/>
    </i>
    <i>
      <x v="102"/>
      <x v="100"/>
    </i>
    <i>
      <x v="30"/>
      <x v="34"/>
    </i>
    <i>
      <x v="137"/>
      <x v="134"/>
    </i>
    <i>
      <x v="4"/>
      <x v="6"/>
    </i>
    <i>
      <x v="97"/>
      <x v="96"/>
    </i>
    <i>
      <x v="139"/>
      <x v="188"/>
    </i>
    <i>
      <x v="112"/>
      <x v="112"/>
    </i>
    <i>
      <x v="77"/>
      <x v="71"/>
    </i>
    <i>
      <x v="88"/>
      <x v="82"/>
    </i>
    <i>
      <x v="3"/>
      <x v="4"/>
    </i>
    <i>
      <x v="74"/>
      <x v="68"/>
    </i>
    <i>
      <x v="73"/>
      <x v="67"/>
    </i>
    <i>
      <x v="196"/>
      <x v="196"/>
    </i>
    <i>
      <x v="54"/>
      <x v="52"/>
    </i>
    <i>
      <x v="52"/>
      <x v="184"/>
    </i>
    <i>
      <x v="79"/>
      <x v="72"/>
    </i>
    <i>
      <x v="119"/>
      <x v="118"/>
    </i>
    <i>
      <x v="178"/>
      <x v="172"/>
    </i>
    <i>
      <x v="19"/>
      <x v="21"/>
    </i>
    <i>
      <x v="18"/>
      <x v="19"/>
    </i>
    <i>
      <x v="128"/>
      <x v="198"/>
    </i>
    <i>
      <x v="37"/>
      <x v="20"/>
    </i>
    <i>
      <x v="99"/>
      <x v="95"/>
    </i>
    <i>
      <x v="131"/>
      <x v="180"/>
    </i>
    <i>
      <x v="28"/>
      <x v="29"/>
    </i>
    <i>
      <x v="53"/>
      <x v="50"/>
    </i>
    <i>
      <x v="21"/>
      <x v="115"/>
    </i>
    <i>
      <x v="35"/>
      <x v="35"/>
    </i>
    <i>
      <x v="23"/>
      <x v="42"/>
    </i>
    <i>
      <x v="169"/>
      <x v="161"/>
    </i>
    <i>
      <x v="2"/>
      <x v="2"/>
    </i>
    <i>
      <x v="91"/>
      <x v="85"/>
    </i>
    <i>
      <x v="109"/>
      <x v="108"/>
    </i>
    <i>
      <x v="90"/>
      <x v="84"/>
    </i>
    <i>
      <x v="135"/>
      <x v="130"/>
    </i>
    <i>
      <x v="59"/>
      <x v="56"/>
    </i>
    <i>
      <x/>
      <x/>
    </i>
    <i>
      <x v="107"/>
      <x v="101"/>
    </i>
    <i>
      <x v="78"/>
      <x v="75"/>
    </i>
    <i>
      <x v="155"/>
      <x v="152"/>
    </i>
    <i>
      <x v="41"/>
      <x v="3"/>
    </i>
    <i>
      <x v="85"/>
      <x v="79"/>
    </i>
    <i>
      <x v="166"/>
      <x v="111"/>
    </i>
    <i>
      <x v="6"/>
      <x v="9"/>
    </i>
    <i>
      <x v="184"/>
      <x v="177"/>
    </i>
    <i>
      <x v="157"/>
      <x v="142"/>
    </i>
    <i>
      <x v="38"/>
      <x v="36"/>
    </i>
    <i>
      <x v="132"/>
      <x v="127"/>
    </i>
    <i>
      <x v="46"/>
      <x v="46"/>
    </i>
    <i>
      <x v="48"/>
      <x v="27"/>
    </i>
    <i>
      <x v="55"/>
      <x v="99"/>
    </i>
    <i>
      <x v="183"/>
      <x v="131"/>
    </i>
    <i>
      <x v="194"/>
      <x v="195"/>
    </i>
    <i r="1">
      <x v="194"/>
    </i>
    <i>
      <x v="56"/>
      <x v="54"/>
    </i>
    <i>
      <x v="163"/>
      <x v="158"/>
    </i>
    <i>
      <x v="182"/>
      <x v="175"/>
    </i>
    <i>
      <x v="103"/>
      <x v="107"/>
    </i>
    <i>
      <x v="65"/>
      <x v="62"/>
    </i>
    <i>
      <x v="63"/>
      <x v="60"/>
    </i>
    <i>
      <x v="124"/>
      <x v="126"/>
    </i>
    <i>
      <x v="129"/>
      <x v="125"/>
    </i>
    <i>
      <x v="159"/>
      <x v="154"/>
    </i>
    <i>
      <x v="125"/>
      <x v="123"/>
    </i>
    <i>
      <x v="193"/>
      <x v="189"/>
    </i>
    <i>
      <x v="84"/>
      <x v="78"/>
    </i>
    <i>
      <x v="26"/>
      <x v="28"/>
    </i>
    <i>
      <x v="94"/>
      <x v="89"/>
    </i>
    <i>
      <x v="5"/>
      <x v="7"/>
    </i>
    <i>
      <x v="25"/>
      <x v="25"/>
    </i>
    <i>
      <x v="47"/>
      <x v="49"/>
    </i>
    <i>
      <x v="164"/>
      <x v="160"/>
    </i>
    <i>
      <x v="44"/>
      <x v="45"/>
    </i>
    <i>
      <x v="93"/>
      <x v="90"/>
    </i>
    <i>
      <x v="114"/>
      <x v="8"/>
    </i>
    <i>
      <x v="17"/>
      <x v="18"/>
    </i>
    <i>
      <x v="136"/>
      <x v="132"/>
    </i>
    <i>
      <x v="96"/>
      <x v="93"/>
    </i>
    <i>
      <x v="42"/>
      <x v="43"/>
    </i>
    <i>
      <x v="181"/>
      <x v="176"/>
    </i>
    <i>
      <x v="141"/>
      <x v="138"/>
    </i>
    <i>
      <x v="172"/>
      <x v="157"/>
    </i>
    <i>
      <x v="10"/>
      <x v="13"/>
    </i>
    <i>
      <x v="144"/>
      <x v="140"/>
    </i>
    <i>
      <x v="61"/>
      <x v="63"/>
    </i>
    <i>
      <x v="60"/>
      <x v="58"/>
    </i>
    <i>
      <x v="32"/>
      <x v="39"/>
    </i>
    <i>
      <x v="76"/>
      <x v="69"/>
    </i>
    <i>
      <x v="45"/>
      <x v="44"/>
    </i>
    <i>
      <x v="69"/>
      <x v="65"/>
    </i>
    <i>
      <x v="121"/>
      <x v="121"/>
    </i>
    <i>
      <x v="111"/>
      <x v="190"/>
    </i>
    <i>
      <x v="148"/>
      <x v="144"/>
    </i>
    <i>
      <x v="152"/>
      <x v="149"/>
    </i>
    <i>
      <x v="149"/>
      <x v="148"/>
    </i>
    <i>
      <x v="195"/>
      <x v="197"/>
    </i>
    <i>
      <x v="11"/>
      <x v="14"/>
    </i>
    <i>
      <x v="160"/>
      <x v="155"/>
    </i>
    <i>
      <x v="83"/>
      <x v="76"/>
    </i>
    <i>
      <x v="190"/>
      <x v="185"/>
    </i>
    <i>
      <x v="116"/>
      <x v="77"/>
    </i>
    <i>
      <x v="7"/>
      <x v="10"/>
    </i>
    <i>
      <x v="50"/>
      <x v="33"/>
    </i>
    <i>
      <x v="140"/>
      <x v="137"/>
    </i>
    <i>
      <x v="110"/>
      <x v="110"/>
    </i>
    <i>
      <x v="113"/>
      <x v="113"/>
    </i>
    <i>
      <x v="146"/>
      <x v="135"/>
    </i>
    <i>
      <x v="80"/>
      <x v="73"/>
    </i>
    <i>
      <x v="95"/>
      <x v="91"/>
    </i>
    <i>
      <x v="31"/>
      <x v="38"/>
    </i>
    <i>
      <x v="36"/>
      <x v="37"/>
    </i>
    <i>
      <x v="154"/>
      <x v="151"/>
    </i>
    <i>
      <x v="64"/>
      <x v="61"/>
    </i>
    <i>
      <x v="158"/>
      <x v="153"/>
    </i>
    <i>
      <x v="118"/>
      <x v="114"/>
    </i>
    <i>
      <x v="138"/>
      <x v="136"/>
    </i>
    <i>
      <x v="8"/>
      <x v="12"/>
    </i>
    <i>
      <x v="58"/>
      <x v="59"/>
    </i>
    <i>
      <x v="170"/>
      <x v="162"/>
    </i>
    <i>
      <x v="179"/>
      <x v="174"/>
    </i>
    <i>
      <x v="126"/>
      <x v="92"/>
    </i>
    <i>
      <x v="150"/>
      <x v="47"/>
    </i>
    <i>
      <x v="147"/>
      <x v="143"/>
    </i>
    <i>
      <x v="100"/>
      <x v="98"/>
    </i>
    <i>
      <x v="68"/>
      <x v="192"/>
    </i>
    <i>
      <x v="192"/>
      <x v="187"/>
    </i>
    <i>
      <x v="29"/>
      <x v="31"/>
    </i>
    <i>
      <x v="120"/>
      <x v="120"/>
    </i>
    <i>
      <x v="98"/>
      <x v="94"/>
    </i>
    <i>
      <x v="191"/>
      <x v="186"/>
    </i>
    <i>
      <x v="86"/>
      <x v="80"/>
    </i>
    <i t="grand">
      <x/>
    </i>
  </rowItems>
  <colFields count="1">
    <field x="-2"/>
  </colFields>
  <colItems count="2">
    <i>
      <x/>
    </i>
    <i i="1">
      <x v="1"/>
    </i>
  </colItems>
  <pageFields count="1">
    <pageField fld="18" hier="-1"/>
  </pageFields>
  <dataFields count="2">
    <dataField name="Average of Average Downfall %" fld="19" subtotal="average" baseField="2" baseItem="5" numFmtId="164"/>
    <dataField name="Count of Coin Name" fld="0" subtotal="count" baseField="0" baseItem="0"/>
  </dataFields>
  <formats count="2">
    <format dxfId="1">
      <pivotArea outline="0" collapsedLevelsAreSubtotals="1"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B72F306-42E6-438D-9DDA-AE4F8999916F}"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14" firstHeaderRow="1" firstDataRow="1" firstDataCol="1" rowPageCount="1" colPageCount="1"/>
  <pivotFields count="20">
    <pivotField axis="axisRow" showAll="0" measureFilter="1" sortType="descending">
      <items count="200">
        <item x="12"/>
        <item x="141"/>
        <item x="72"/>
        <item x="192"/>
        <item x="88"/>
        <item x="98"/>
        <item x="175"/>
        <item x="118"/>
        <item x="34"/>
        <item x="85"/>
        <item x="178"/>
        <item x="107"/>
        <item x="91"/>
        <item x="76"/>
        <item x="41"/>
        <item x="53"/>
        <item x="44"/>
        <item x="46"/>
        <item x="77"/>
        <item x="45"/>
        <item x="35"/>
        <item x="64"/>
        <item x="54"/>
        <item x="124"/>
        <item x="177"/>
        <item x="36"/>
        <item x="112"/>
        <item x="153"/>
        <item x="27"/>
        <item x="113"/>
        <item x="43"/>
        <item x="110"/>
        <item x="0"/>
        <item x="151"/>
        <item x="14"/>
        <item x="4"/>
        <item x="164"/>
        <item x="57"/>
        <item x="82"/>
        <item x="17"/>
        <item x="96"/>
        <item x="9"/>
        <item x="194"/>
        <item x="159"/>
        <item x="52"/>
        <item x="174"/>
        <item x="136"/>
        <item x="83"/>
        <item x="48"/>
        <item x="120"/>
        <item x="86"/>
        <item x="90"/>
        <item x="163"/>
        <item x="181"/>
        <item x="62"/>
        <item x="19"/>
        <item x="172"/>
        <item x="150"/>
        <item x="40"/>
        <item x="16"/>
        <item x="7"/>
        <item x="81"/>
        <item x="31"/>
        <item x="38"/>
        <item x="146"/>
        <item x="1"/>
        <item x="196"/>
        <item x="95"/>
        <item x="187"/>
        <item x="78"/>
        <item x="22"/>
        <item x="138"/>
        <item x="20"/>
        <item x="15"/>
        <item x="131"/>
        <item x="108"/>
        <item x="158"/>
        <item x="75"/>
        <item x="59"/>
        <item x="169"/>
        <item x="93"/>
        <item x="198"/>
        <item x="28"/>
        <item x="47"/>
        <item x="100"/>
        <item x="170"/>
        <item x="190"/>
        <item x="133"/>
        <item x="106"/>
        <item x="155"/>
        <item x="109"/>
        <item x="197"/>
        <item x="165"/>
        <item x="102"/>
        <item x="21"/>
        <item x="84"/>
        <item x="161"/>
        <item x="123"/>
        <item x="142"/>
        <item x="23"/>
        <item x="173"/>
        <item x="94"/>
        <item x="180"/>
        <item x="184"/>
        <item x="71"/>
        <item x="51"/>
        <item x="70"/>
        <item x="69"/>
        <item x="87"/>
        <item x="160"/>
        <item x="156"/>
        <item x="191"/>
        <item x="179"/>
        <item x="99"/>
        <item x="92"/>
        <item x="24"/>
        <item x="147"/>
        <item x="183"/>
        <item x="63"/>
        <item x="137"/>
        <item x="134"/>
        <item x="168"/>
        <item x="132"/>
        <item x="167"/>
        <item x="128"/>
        <item x="66"/>
        <item x="80"/>
        <item x="189"/>
        <item x="56"/>
        <item x="33"/>
        <item x="157"/>
        <item x="154"/>
        <item x="117"/>
        <item x="103"/>
        <item x="111"/>
        <item x="166"/>
        <item x="13"/>
        <item x="193"/>
        <item x="60"/>
        <item x="58"/>
        <item x="162"/>
        <item x="65"/>
        <item x="101"/>
        <item x="10"/>
        <item x="74"/>
        <item x="135"/>
        <item x="186"/>
        <item x="114"/>
        <item x="97"/>
        <item x="5"/>
        <item x="176"/>
        <item x="67"/>
        <item x="50"/>
        <item x="119"/>
        <item x="122"/>
        <item x="144"/>
        <item x="37"/>
        <item x="121"/>
        <item x="145"/>
        <item x="127"/>
        <item x="115"/>
        <item x="104"/>
        <item x="61"/>
        <item x="126"/>
        <item x="116"/>
        <item x="3"/>
        <item x="182"/>
        <item x="171"/>
        <item x="42"/>
        <item x="55"/>
        <item x="149"/>
        <item x="8"/>
        <item x="125"/>
        <item x="195"/>
        <item x="188"/>
        <item x="148"/>
        <item x="6"/>
        <item x="25"/>
        <item x="39"/>
        <item x="139"/>
        <item x="130"/>
        <item x="26"/>
        <item x="105"/>
        <item x="68"/>
        <item x="18"/>
        <item x="129"/>
        <item x="140"/>
        <item x="30"/>
        <item x="49"/>
        <item x="185"/>
        <item x="73"/>
        <item x="152"/>
        <item x="79"/>
        <item x="2"/>
        <item x="32"/>
        <item x="11"/>
        <item x="29"/>
        <item x="143"/>
        <item x="89"/>
        <item t="default"/>
      </items>
      <autoSortScope>
        <pivotArea dataOnly="0" outline="0" fieldPosition="0">
          <references count="1">
            <reference field="4294967294" count="1" selected="0">
              <x v="0"/>
            </reference>
          </references>
        </pivotArea>
      </autoSortScope>
    </pivotField>
    <pivotField axis="axisPage" showAll="0">
      <items count="3">
        <item x="1"/>
        <item x="0"/>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0"/>
  </rowFields>
  <rowItems count="11">
    <i>
      <x v="32"/>
    </i>
    <i>
      <x v="65"/>
    </i>
    <i>
      <x v="176"/>
    </i>
    <i>
      <x v="35"/>
    </i>
    <i>
      <x v="60"/>
    </i>
    <i>
      <x v="41"/>
    </i>
    <i>
      <x v="34"/>
    </i>
    <i>
      <x/>
    </i>
    <i>
      <x v="37"/>
    </i>
    <i>
      <x v="55"/>
    </i>
    <i t="grand">
      <x/>
    </i>
  </rowItems>
  <colItems count="1">
    <i/>
  </colItems>
  <pageFields count="1">
    <pageField fld="1" item="1" hier="-1"/>
  </pageFields>
  <dataFields count="1">
    <dataField name="Sum of Volume_Numeric" fld="9" baseField="0" baseItem="177" numFmtId="3"/>
  </dataFields>
  <chartFormats count="2">
    <chartFormat chart="2"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 xr10:uid="{94D35A3C-64C4-4F0B-9CEC-20FF49F74839}" sourceName="[Crypto_Data__2].[Price Category]">
  <pivotTables>
    <pivotTable tabId="6" name="Task3"/>
  </pivotTables>
  <data>
    <olap pivotCacheId="1495632066">
      <levels count="2">
        <level uniqueName="[Crypto_Data__2].[Price Category].[(All)]" sourceCaption="(All)" count="0"/>
        <level uniqueName="[Crypto_Data__2].[Price Category].[Price Category]" sourceCaption="Price Category" count="2">
          <ranges>
            <range startItem="0">
              <i n="[Crypto_Data__2].[Price Category].&amp;[$0-$50]" c="$0-$50"/>
              <i n="[Crypto_Data__2].[Price Category].&amp;[Above $50]" c="Above $50"/>
            </range>
          </ranges>
        </level>
      </levels>
      <selections count="1">
        <selection n="[Crypto_Data__2].[Price Category].&amp;[$0-$50]"/>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 xr10:uid="{AE7457C3-8398-411B-8557-3FE4CCA42B86}" sourceName="Price_Range">
  <pivotTables>
    <pivotTable tabId="7" name="Task4"/>
  </pivotTables>
  <data>
    <tabular pivotCacheId="1564935381">
      <items count="2">
        <i x="0" s="1"/>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0_5" xr10:uid="{6551D174-82BC-4396-8462-2D8EF694C976}" sourceName="Price_0_5">
  <pivotTables>
    <pivotTable tabId="9" name="Task5"/>
  </pivotTables>
  <data>
    <tabular pivotCacheId="1564935381">
      <items count="2">
        <i x="1"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D84B9BB6-AC67-4A34-AABC-7E47566BDB3C}" cache="Slicer_Price_Category" caption="Price Category" level="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_Range" xr10:uid="{E1A37D7C-2BC7-45DB-B3C5-ACC8EF33E642}" cache="Slicer_Price_Range" caption="Price_Range"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_0_5" xr10:uid="{70306B87-D048-4186-9E67-703D60C5F1E9}" cache="Slicer_Price_0_5" caption="Price_0_5"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_Range 1" xr10:uid="{1A5E8603-9981-46B1-AC9E-153B0CB128F4}" cache="Slicer_Price_Range" caption="Price_Range"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ADBD071-2F6E-4036-93E6-1967333B9D4C}" name="Crypto_Data" displayName="Crypto_Data" ref="A1:G201" totalsRowShown="0" headerRowDxfId="4" headerRowBorderDxfId="3" tableBorderDxfId="2">
  <autoFilter ref="A1:G201" xr:uid="{EADBD071-2F6E-4036-93E6-1967333B9D4C}"/>
  <tableColumns count="7">
    <tableColumn id="1" xr3:uid="{9CC29C3C-100B-4C4C-9ED1-2D6D51BFBD82}" name="Coin Name"/>
    <tableColumn id="2" xr3:uid="{601B759B-A9F0-4EC8-809F-2A4BA5B62751}" name="Symbol"/>
    <tableColumn id="3" xr3:uid="{93B57DDA-BB3F-4DB1-9485-17A318E7B030}" name="Price (USD)"/>
    <tableColumn id="4" xr3:uid="{C1E237C6-5DC2-4010-9F10-EDF9379BCC14}" name="1h Change (%)"/>
    <tableColumn id="5" xr3:uid="{959ACFA6-5AC9-4134-9AD5-36FB4DE8A9FB}" name="Market Cap"/>
    <tableColumn id="6" xr3:uid="{964473FE-ACC5-4643-856F-A1922455A13E}" name="Volume (24h) USD"/>
    <tableColumn id="7" xr3:uid="{FDD19BE1-79AA-4110-8B28-198D4091E9C7}" name="Circulating Suppl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D5E53C-E60E-4E11-847B-7B68E5BD979D}" name="Crypto_Data__2" displayName="Crypto_Data__2" ref="A1:T201" totalsRowShown="0">
  <autoFilter ref="A1:T201" xr:uid="{ABD5E53C-E60E-4E11-847B-7B68E5BD979D}"/>
  <tableColumns count="20">
    <tableColumn id="1" xr3:uid="{D86C51F1-0C6E-46BA-90F1-52B231BF884C}" name="Coin Name" dataDxfId="23"/>
    <tableColumn id="9" xr3:uid="{3FBCD8E3-F2CF-4289-ABF5-16F8FC4FC404}" name="Allowed_Coin" dataDxfId="22">
      <calculatedColumnFormula>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calculatedColumnFormula>
    </tableColumn>
    <tableColumn id="2" xr3:uid="{9D3D2916-166D-4480-B358-84B961600516}" name="Symbol" dataDxfId="21"/>
    <tableColumn id="3" xr3:uid="{B5ACCEF8-8136-41A4-990D-A454C74A3942}" name="Price (USD)" dataDxfId="20"/>
    <tableColumn id="12" xr3:uid="{959E8D3F-0110-4C1B-BD98-CF246D2B1585}" name="Price Category" dataDxfId="19">
      <calculatedColumnFormula>IF(VALUE(SUBSTITUTE(D2,"$",""))&lt;=50,"$0-$50","Above $50")</calculatedColumnFormula>
    </tableColumn>
    <tableColumn id="4" xr3:uid="{4FA8A065-3FC9-4CEA-BF66-17F60D0EC215}" name="1h Change (%)"/>
    <tableColumn id="5" xr3:uid="{CC908A3F-3217-43F1-9349-1830FC82364B}" name="Market Cap" dataDxfId="18"/>
    <tableColumn id="8" xr3:uid="{B7F005ED-0ADD-4B4C-91AB-B46AFF842AF6}" name="MarketCap_Numeric" dataDxfId="17">
      <calculatedColumnFormula>_xlfn.NUMBERVALUE(SUBSTITUTE(SUBSTITUTE(G2,"$",""),",",""))</calculatedColumnFormula>
    </tableColumn>
    <tableColumn id="6" xr3:uid="{9B8E365C-70E2-430F-A75C-3B03E6342B92}" name="Volume (24h) USD" dataDxfId="16"/>
    <tableColumn id="11" xr3:uid="{6C136799-CB32-446E-A6EE-E4905DCD691E}" name="Volume_Numeric" dataDxfId="15"/>
    <tableColumn id="7" xr3:uid="{0D961CDD-7612-492D-83BD-DDB1174990CD}" name="Circulating Supply" dataDxfId="14"/>
    <tableColumn id="10" xr3:uid="{5D05AF50-3831-48AC-8258-279252D1B839}" name="CurrentPrice_Num" dataDxfId="13">
      <calculatedColumnFormula>_xlfn.NUMBERVALUE(SUBSTITUTE(SUBSTITUTE(Crypto_Data__2[[#This Row],[Price (USD)]],"$",""),",",""))</calculatedColumnFormula>
    </tableColumn>
    <tableColumn id="13" xr3:uid="{3469A72B-4206-48F8-8C97-934A1B7E6B2C}" name="PreviousPrice" dataDxfId="12">
      <calculatedColumnFormula>L2/(1+F2)</calculatedColumnFormula>
    </tableColumn>
    <tableColumn id="14" xr3:uid="{51B7EFC4-C5BA-4492-8B10-CA286D5FBF48}" name="PriceChange" dataDxfId="11">
      <calculatedColumnFormula>L2-M2</calculatedColumnFormula>
    </tableColumn>
    <tableColumn id="15" xr3:uid="{0645DAF3-E74B-4291-B966-DBB4C35B15E4}" name="Price_Range" dataDxfId="10">
      <calculatedColumnFormula>IF(L2&lt;10,"Up to $10","&gt;= $10")</calculatedColumnFormula>
    </tableColumn>
    <tableColumn id="16" xr3:uid="{A57416BA-1EDC-492E-B9E2-1F567AB59687}" name="Price_24h" dataDxfId="9">
      <calculatedColumnFormula>L2/(1-F2)</calculatedColumnFormula>
    </tableColumn>
    <tableColumn id="17" xr3:uid="{05A457A7-AB98-4C88-8310-A4B95FE2A362}" name="Price_7d" dataDxfId="8">
      <calculatedColumnFormula>L2*(1+F2)</calculatedColumnFormula>
    </tableColumn>
    <tableColumn id="18" xr3:uid="{B044B167-7E52-45F7-BF80-E156EEE0985C}" name="Price_0_5" dataDxfId="7">
      <calculatedColumnFormula>IF(L2&lt;=5,"$0-$5","Above $5")</calculatedColumnFormula>
    </tableColumn>
    <tableColumn id="19" xr3:uid="{FA1964CF-874D-47C1-A945-BEEF094408D5}" name="Investment Range" dataDxfId="6">
      <calculatedColumnFormula>IF(L2&lt;=0.05,"$0-$0.05",
IF(L2&lt;=0.5,"$0.05-$0.5",
IF(L2&lt;=5,"$0.5-$5",
IF(L2&lt;=50,"$5-$50","&gt;$50"))))</calculatedColumnFormula>
    </tableColumn>
    <tableColumn id="20" xr3:uid="{0BBA08F7-EC40-44B9-A7B4-4E22C51F69B2}" name="Average Downfall %" dataDxfId="5">
      <calculatedColumnFormula>ABS(F2)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807AC-FB6E-4587-AFE5-66D7E97345D5}">
  <sheetPr codeName="Sheet1"/>
  <dimension ref="A1:G201"/>
  <sheetViews>
    <sheetView workbookViewId="0">
      <selection activeCell="J14" sqref="J14"/>
    </sheetView>
  </sheetViews>
  <sheetFormatPr defaultRowHeight="14.4" x14ac:dyDescent="0.3"/>
  <cols>
    <col min="1" max="1" width="30.77734375" bestFit="1" customWidth="1"/>
    <col min="2" max="2" width="11.33203125" bestFit="1" customWidth="1"/>
    <col min="3" max="3" width="12.33203125" customWidth="1"/>
    <col min="4" max="4" width="15" customWidth="1"/>
    <col min="5" max="5" width="17.44140625" bestFit="1" customWidth="1"/>
    <col min="6" max="6" width="18.33203125" customWidth="1"/>
    <col min="7" max="7" width="18" customWidth="1"/>
  </cols>
  <sheetData>
    <row r="1" spans="1:7" x14ac:dyDescent="0.3">
      <c r="A1" s="1" t="s">
        <v>0</v>
      </c>
      <c r="B1" s="1" t="s">
        <v>1</v>
      </c>
      <c r="C1" s="1" t="s">
        <v>2</v>
      </c>
      <c r="D1" s="1" t="s">
        <v>3</v>
      </c>
      <c r="E1" s="1" t="s">
        <v>4</v>
      </c>
      <c r="F1" s="1" t="s">
        <v>5</v>
      </c>
      <c r="G1" s="1" t="s">
        <v>6</v>
      </c>
    </row>
    <row r="2" spans="1:7" x14ac:dyDescent="0.3">
      <c r="A2" t="s">
        <v>7</v>
      </c>
      <c r="B2" t="s">
        <v>8</v>
      </c>
      <c r="C2" t="s">
        <v>9</v>
      </c>
      <c r="D2" t="s">
        <v>10</v>
      </c>
      <c r="E2" t="s">
        <v>11</v>
      </c>
      <c r="F2" t="s">
        <v>12</v>
      </c>
      <c r="G2" t="s">
        <v>13</v>
      </c>
    </row>
    <row r="3" spans="1:7" x14ac:dyDescent="0.3">
      <c r="A3" t="s">
        <v>14</v>
      </c>
      <c r="B3" t="s">
        <v>15</v>
      </c>
      <c r="C3" t="s">
        <v>16</v>
      </c>
      <c r="D3" t="s">
        <v>17</v>
      </c>
      <c r="E3" t="s">
        <v>18</v>
      </c>
      <c r="F3" t="s">
        <v>19</v>
      </c>
      <c r="G3" t="s">
        <v>20</v>
      </c>
    </row>
    <row r="4" spans="1:7" x14ac:dyDescent="0.3">
      <c r="A4" t="s">
        <v>21</v>
      </c>
      <c r="B4" t="s">
        <v>21</v>
      </c>
      <c r="C4" t="s">
        <v>22</v>
      </c>
      <c r="D4" t="s">
        <v>23</v>
      </c>
      <c r="E4" t="s">
        <v>24</v>
      </c>
      <c r="F4" t="s">
        <v>25</v>
      </c>
      <c r="G4" t="s">
        <v>26</v>
      </c>
    </row>
    <row r="5" spans="1:7" x14ac:dyDescent="0.3">
      <c r="A5" t="s">
        <v>27</v>
      </c>
      <c r="B5" t="s">
        <v>28</v>
      </c>
      <c r="C5" t="s">
        <v>29</v>
      </c>
      <c r="D5" t="s">
        <v>30</v>
      </c>
      <c r="E5" t="s">
        <v>31</v>
      </c>
      <c r="F5" t="s">
        <v>32</v>
      </c>
      <c r="G5" t="s">
        <v>33</v>
      </c>
    </row>
    <row r="6" spans="1:7" x14ac:dyDescent="0.3">
      <c r="A6" t="s">
        <v>34</v>
      </c>
      <c r="B6" t="s">
        <v>34</v>
      </c>
      <c r="C6" t="s">
        <v>35</v>
      </c>
      <c r="D6" t="s">
        <v>36</v>
      </c>
      <c r="E6" t="s">
        <v>37</v>
      </c>
      <c r="F6" t="s">
        <v>38</v>
      </c>
      <c r="G6" t="s">
        <v>39</v>
      </c>
    </row>
    <row r="7" spans="1:7" x14ac:dyDescent="0.3">
      <c r="A7" t="s">
        <v>40</v>
      </c>
      <c r="B7" t="s">
        <v>41</v>
      </c>
      <c r="C7" t="s">
        <v>42</v>
      </c>
      <c r="D7" t="s">
        <v>43</v>
      </c>
      <c r="E7" t="s">
        <v>44</v>
      </c>
      <c r="F7" t="s">
        <v>45</v>
      </c>
      <c r="G7" t="s">
        <v>46</v>
      </c>
    </row>
    <row r="8" spans="1:7" x14ac:dyDescent="0.3">
      <c r="A8" t="s">
        <v>47</v>
      </c>
      <c r="B8" t="s">
        <v>47</v>
      </c>
      <c r="C8" t="s">
        <v>48</v>
      </c>
      <c r="D8" t="s">
        <v>49</v>
      </c>
      <c r="E8" t="s">
        <v>50</v>
      </c>
      <c r="F8" t="s">
        <v>51</v>
      </c>
      <c r="G8" t="s">
        <v>52</v>
      </c>
    </row>
    <row r="9" spans="1:7" x14ac:dyDescent="0.3">
      <c r="A9" t="s">
        <v>53</v>
      </c>
      <c r="B9" t="s">
        <v>54</v>
      </c>
      <c r="C9" t="s">
        <v>55</v>
      </c>
      <c r="D9" t="s">
        <v>56</v>
      </c>
      <c r="E9" t="s">
        <v>57</v>
      </c>
      <c r="F9" t="s">
        <v>58</v>
      </c>
      <c r="G9" t="s">
        <v>59</v>
      </c>
    </row>
    <row r="10" spans="1:7" x14ac:dyDescent="0.3">
      <c r="A10" t="s">
        <v>60</v>
      </c>
      <c r="B10" t="s">
        <v>61</v>
      </c>
      <c r="C10" t="s">
        <v>62</v>
      </c>
      <c r="D10" t="s">
        <v>63</v>
      </c>
      <c r="E10" t="s">
        <v>64</v>
      </c>
      <c r="F10" t="s">
        <v>65</v>
      </c>
      <c r="G10" t="s">
        <v>66</v>
      </c>
    </row>
    <row r="11" spans="1:7" x14ac:dyDescent="0.3">
      <c r="A11" t="s">
        <v>67</v>
      </c>
      <c r="B11" t="s">
        <v>68</v>
      </c>
      <c r="C11" t="s">
        <v>69</v>
      </c>
      <c r="D11" t="s">
        <v>70</v>
      </c>
      <c r="E11" t="s">
        <v>71</v>
      </c>
      <c r="F11" t="s">
        <v>72</v>
      </c>
      <c r="G11" t="s">
        <v>73</v>
      </c>
    </row>
    <row r="12" spans="1:7" x14ac:dyDescent="0.3">
      <c r="A12" t="s">
        <v>74</v>
      </c>
      <c r="B12" t="s">
        <v>75</v>
      </c>
      <c r="C12" t="s">
        <v>76</v>
      </c>
      <c r="D12" t="s">
        <v>77</v>
      </c>
      <c r="E12" t="s">
        <v>78</v>
      </c>
      <c r="F12" t="s">
        <v>79</v>
      </c>
      <c r="G12" t="s">
        <v>80</v>
      </c>
    </row>
    <row r="13" spans="1:7" x14ac:dyDescent="0.3">
      <c r="A13" t="s">
        <v>81</v>
      </c>
      <c r="B13" t="s">
        <v>82</v>
      </c>
      <c r="C13" t="s">
        <v>83</v>
      </c>
      <c r="D13" t="s">
        <v>84</v>
      </c>
      <c r="E13" t="s">
        <v>85</v>
      </c>
      <c r="F13" t="s">
        <v>86</v>
      </c>
      <c r="G13" t="s">
        <v>87</v>
      </c>
    </row>
    <row r="14" spans="1:7" x14ac:dyDescent="0.3">
      <c r="A14" t="s">
        <v>88</v>
      </c>
      <c r="B14" t="s">
        <v>88</v>
      </c>
      <c r="C14" t="s">
        <v>89</v>
      </c>
      <c r="D14" t="s">
        <v>90</v>
      </c>
      <c r="E14" t="s">
        <v>91</v>
      </c>
      <c r="F14" t="s">
        <v>92</v>
      </c>
      <c r="G14" t="s">
        <v>93</v>
      </c>
    </row>
    <row r="15" spans="1:7" x14ac:dyDescent="0.3">
      <c r="A15" t="s">
        <v>94</v>
      </c>
      <c r="B15" t="s">
        <v>95</v>
      </c>
      <c r="C15" t="s">
        <v>96</v>
      </c>
      <c r="D15" t="s">
        <v>97</v>
      </c>
      <c r="E15" t="s">
        <v>98</v>
      </c>
      <c r="F15" t="s">
        <v>99</v>
      </c>
      <c r="G15" t="s">
        <v>100</v>
      </c>
    </row>
    <row r="16" spans="1:7" x14ac:dyDescent="0.3">
      <c r="A16" t="s">
        <v>101</v>
      </c>
      <c r="B16" t="s">
        <v>102</v>
      </c>
      <c r="C16" t="s">
        <v>103</v>
      </c>
      <c r="D16" t="s">
        <v>49</v>
      </c>
      <c r="E16" t="s">
        <v>104</v>
      </c>
      <c r="F16" t="s">
        <v>105</v>
      </c>
      <c r="G16" t="s">
        <v>106</v>
      </c>
    </row>
    <row r="17" spans="1:7" x14ac:dyDescent="0.3">
      <c r="A17" t="s">
        <v>107</v>
      </c>
      <c r="B17" t="s">
        <v>108</v>
      </c>
      <c r="C17" t="s">
        <v>109</v>
      </c>
      <c r="D17" t="s">
        <v>110</v>
      </c>
      <c r="E17" t="s">
        <v>111</v>
      </c>
      <c r="F17" t="s">
        <v>112</v>
      </c>
      <c r="G17" t="s">
        <v>113</v>
      </c>
    </row>
    <row r="18" spans="1:7" x14ac:dyDescent="0.3">
      <c r="A18" t="s">
        <v>114</v>
      </c>
      <c r="B18" t="s">
        <v>115</v>
      </c>
      <c r="C18" t="s">
        <v>116</v>
      </c>
      <c r="D18" t="s">
        <v>90</v>
      </c>
      <c r="E18" t="s">
        <v>117</v>
      </c>
      <c r="F18" t="s">
        <v>118</v>
      </c>
      <c r="G18" t="s">
        <v>119</v>
      </c>
    </row>
    <row r="19" spans="1:7" x14ac:dyDescent="0.3">
      <c r="A19" t="s">
        <v>120</v>
      </c>
      <c r="B19" t="s">
        <v>121</v>
      </c>
      <c r="C19" t="s">
        <v>122</v>
      </c>
      <c r="D19" t="s">
        <v>123</v>
      </c>
      <c r="E19" t="s">
        <v>124</v>
      </c>
      <c r="F19" t="s">
        <v>125</v>
      </c>
      <c r="G19" t="s">
        <v>126</v>
      </c>
    </row>
    <row r="20" spans="1:7" x14ac:dyDescent="0.3">
      <c r="A20" t="s">
        <v>127</v>
      </c>
      <c r="B20" t="s">
        <v>128</v>
      </c>
      <c r="C20" t="s">
        <v>129</v>
      </c>
      <c r="D20" t="s">
        <v>130</v>
      </c>
      <c r="E20" t="s">
        <v>131</v>
      </c>
      <c r="F20" t="s">
        <v>132</v>
      </c>
      <c r="G20" t="s">
        <v>133</v>
      </c>
    </row>
    <row r="21" spans="1:7" x14ac:dyDescent="0.3">
      <c r="A21" t="s">
        <v>134</v>
      </c>
      <c r="B21" t="s">
        <v>135</v>
      </c>
      <c r="C21" t="s">
        <v>136</v>
      </c>
      <c r="D21" t="s">
        <v>137</v>
      </c>
      <c r="E21" t="s">
        <v>138</v>
      </c>
      <c r="F21" t="s">
        <v>139</v>
      </c>
      <c r="G21" t="s">
        <v>140</v>
      </c>
    </row>
    <row r="22" spans="1:7" x14ac:dyDescent="0.3">
      <c r="A22" t="s">
        <v>141</v>
      </c>
      <c r="B22" t="s">
        <v>142</v>
      </c>
      <c r="C22" t="s">
        <v>143</v>
      </c>
      <c r="D22" t="s">
        <v>144</v>
      </c>
      <c r="E22" t="s">
        <v>145</v>
      </c>
      <c r="F22" t="s">
        <v>146</v>
      </c>
      <c r="G22" t="s">
        <v>147</v>
      </c>
    </row>
    <row r="23" spans="1:7" x14ac:dyDescent="0.3">
      <c r="A23" t="s">
        <v>148</v>
      </c>
      <c r="B23" t="s">
        <v>149</v>
      </c>
      <c r="C23" t="s">
        <v>150</v>
      </c>
      <c r="D23" t="s">
        <v>151</v>
      </c>
      <c r="E23" t="s">
        <v>152</v>
      </c>
      <c r="F23" t="s">
        <v>153</v>
      </c>
      <c r="G23" t="s">
        <v>154</v>
      </c>
    </row>
    <row r="24" spans="1:7" x14ac:dyDescent="0.3">
      <c r="A24" t="s">
        <v>155</v>
      </c>
      <c r="B24" t="s">
        <v>156</v>
      </c>
      <c r="C24" t="s">
        <v>29</v>
      </c>
      <c r="D24" t="s">
        <v>157</v>
      </c>
      <c r="E24" t="s">
        <v>158</v>
      </c>
      <c r="F24" t="s">
        <v>159</v>
      </c>
      <c r="G24" t="s">
        <v>160</v>
      </c>
    </row>
    <row r="25" spans="1:7" x14ac:dyDescent="0.3">
      <c r="A25" t="s">
        <v>161</v>
      </c>
      <c r="B25" t="s">
        <v>162</v>
      </c>
      <c r="C25" t="s">
        <v>163</v>
      </c>
      <c r="D25" t="s">
        <v>164</v>
      </c>
      <c r="E25" t="s">
        <v>165</v>
      </c>
      <c r="F25" t="s">
        <v>166</v>
      </c>
      <c r="G25" t="s">
        <v>167</v>
      </c>
    </row>
    <row r="26" spans="1:7" x14ac:dyDescent="0.3">
      <c r="A26" t="s">
        <v>168</v>
      </c>
      <c r="B26" t="s">
        <v>169</v>
      </c>
      <c r="C26" t="s">
        <v>170</v>
      </c>
      <c r="D26" t="s">
        <v>123</v>
      </c>
      <c r="E26" t="s">
        <v>171</v>
      </c>
      <c r="F26" t="s">
        <v>172</v>
      </c>
      <c r="G26" t="s">
        <v>173</v>
      </c>
    </row>
    <row r="27" spans="1:7" x14ac:dyDescent="0.3">
      <c r="A27" t="s">
        <v>174</v>
      </c>
      <c r="B27" t="s">
        <v>175</v>
      </c>
      <c r="C27" t="s">
        <v>176</v>
      </c>
      <c r="D27" t="s">
        <v>177</v>
      </c>
      <c r="E27" t="s">
        <v>178</v>
      </c>
      <c r="F27" t="s">
        <v>179</v>
      </c>
      <c r="G27" t="s">
        <v>180</v>
      </c>
    </row>
    <row r="28" spans="1:7" x14ac:dyDescent="0.3">
      <c r="A28" t="s">
        <v>181</v>
      </c>
      <c r="B28" t="s">
        <v>182</v>
      </c>
      <c r="C28" t="s">
        <v>183</v>
      </c>
      <c r="D28" t="s">
        <v>184</v>
      </c>
      <c r="E28" t="s">
        <v>185</v>
      </c>
      <c r="F28" t="s">
        <v>186</v>
      </c>
      <c r="G28" t="s">
        <v>187</v>
      </c>
    </row>
    <row r="29" spans="1:7" x14ac:dyDescent="0.3">
      <c r="A29" t="s">
        <v>188</v>
      </c>
      <c r="B29" t="s">
        <v>189</v>
      </c>
      <c r="C29" t="s">
        <v>190</v>
      </c>
      <c r="D29" t="s">
        <v>191</v>
      </c>
      <c r="E29" t="s">
        <v>192</v>
      </c>
      <c r="F29" t="s">
        <v>193</v>
      </c>
      <c r="G29" t="s">
        <v>194</v>
      </c>
    </row>
    <row r="30" spans="1:7" x14ac:dyDescent="0.3">
      <c r="A30" t="s">
        <v>195</v>
      </c>
      <c r="B30" t="s">
        <v>196</v>
      </c>
      <c r="C30" t="s">
        <v>197</v>
      </c>
      <c r="D30" t="s">
        <v>198</v>
      </c>
      <c r="E30" t="s">
        <v>199</v>
      </c>
      <c r="F30" t="s">
        <v>200</v>
      </c>
      <c r="G30" t="s">
        <v>201</v>
      </c>
    </row>
    <row r="31" spans="1:7" x14ac:dyDescent="0.3">
      <c r="A31" t="s">
        <v>202</v>
      </c>
      <c r="B31" t="s">
        <v>203</v>
      </c>
      <c r="C31" t="s">
        <v>204</v>
      </c>
      <c r="D31" t="s">
        <v>205</v>
      </c>
      <c r="E31" t="s">
        <v>206</v>
      </c>
      <c r="F31" t="s">
        <v>207</v>
      </c>
      <c r="G31" t="s">
        <v>208</v>
      </c>
    </row>
    <row r="32" spans="1:7" x14ac:dyDescent="0.3">
      <c r="A32" t="s">
        <v>209</v>
      </c>
      <c r="B32" t="s">
        <v>209</v>
      </c>
      <c r="C32" t="s">
        <v>210</v>
      </c>
      <c r="D32" t="s">
        <v>144</v>
      </c>
      <c r="E32" t="s">
        <v>211</v>
      </c>
      <c r="F32" t="s">
        <v>212</v>
      </c>
      <c r="G32" t="s">
        <v>213</v>
      </c>
    </row>
    <row r="33" spans="1:7" x14ac:dyDescent="0.3">
      <c r="A33" t="s">
        <v>214</v>
      </c>
      <c r="B33" t="s">
        <v>215</v>
      </c>
      <c r="C33" t="s">
        <v>76</v>
      </c>
      <c r="D33" t="s">
        <v>177</v>
      </c>
      <c r="E33" t="s">
        <v>216</v>
      </c>
      <c r="F33" t="s">
        <v>217</v>
      </c>
      <c r="G33" t="s">
        <v>218</v>
      </c>
    </row>
    <row r="34" spans="1:7" x14ac:dyDescent="0.3">
      <c r="A34" t="s">
        <v>219</v>
      </c>
      <c r="B34" t="s">
        <v>220</v>
      </c>
      <c r="C34" t="s">
        <v>221</v>
      </c>
      <c r="D34" t="s">
        <v>157</v>
      </c>
      <c r="E34" t="s">
        <v>222</v>
      </c>
      <c r="F34" t="s">
        <v>223</v>
      </c>
      <c r="G34" t="s">
        <v>224</v>
      </c>
    </row>
    <row r="35" spans="1:7" x14ac:dyDescent="0.3">
      <c r="A35" t="s">
        <v>225</v>
      </c>
      <c r="B35" t="s">
        <v>226</v>
      </c>
      <c r="C35" t="s">
        <v>227</v>
      </c>
      <c r="D35" t="s">
        <v>17</v>
      </c>
      <c r="E35" t="s">
        <v>228</v>
      </c>
      <c r="F35" t="s">
        <v>229</v>
      </c>
      <c r="G35" t="s">
        <v>230</v>
      </c>
    </row>
    <row r="36" spans="1:7" x14ac:dyDescent="0.3">
      <c r="A36" t="s">
        <v>231</v>
      </c>
      <c r="B36" t="s">
        <v>232</v>
      </c>
      <c r="C36" t="s">
        <v>233</v>
      </c>
      <c r="D36" t="s">
        <v>234</v>
      </c>
      <c r="E36" t="s">
        <v>235</v>
      </c>
      <c r="F36" t="s">
        <v>236</v>
      </c>
      <c r="G36" t="s">
        <v>237</v>
      </c>
    </row>
    <row r="37" spans="1:7" x14ac:dyDescent="0.3">
      <c r="A37" t="s">
        <v>238</v>
      </c>
      <c r="B37" t="s">
        <v>238</v>
      </c>
      <c r="C37" t="s">
        <v>48</v>
      </c>
      <c r="D37" t="s">
        <v>77</v>
      </c>
      <c r="E37" t="s">
        <v>239</v>
      </c>
      <c r="F37" t="s">
        <v>240</v>
      </c>
      <c r="G37" t="s">
        <v>241</v>
      </c>
    </row>
    <row r="38" spans="1:7" x14ac:dyDescent="0.3">
      <c r="A38" t="s">
        <v>242</v>
      </c>
      <c r="B38" t="s">
        <v>243</v>
      </c>
      <c r="C38" t="s">
        <v>244</v>
      </c>
      <c r="D38" t="s">
        <v>245</v>
      </c>
      <c r="E38" t="s">
        <v>246</v>
      </c>
      <c r="F38" t="s">
        <v>247</v>
      </c>
      <c r="G38" t="s">
        <v>248</v>
      </c>
    </row>
    <row r="39" spans="1:7" x14ac:dyDescent="0.3">
      <c r="A39" t="s">
        <v>249</v>
      </c>
      <c r="B39" t="s">
        <v>250</v>
      </c>
      <c r="C39" t="s">
        <v>251</v>
      </c>
      <c r="D39" t="s">
        <v>252</v>
      </c>
      <c r="E39" t="s">
        <v>253</v>
      </c>
      <c r="F39" t="s">
        <v>254</v>
      </c>
      <c r="G39" t="s">
        <v>255</v>
      </c>
    </row>
    <row r="40" spans="1:7" x14ac:dyDescent="0.3">
      <c r="A40" t="s">
        <v>256</v>
      </c>
      <c r="B40" t="s">
        <v>257</v>
      </c>
      <c r="C40" t="s">
        <v>258</v>
      </c>
      <c r="D40" t="s">
        <v>17</v>
      </c>
      <c r="E40" t="s">
        <v>259</v>
      </c>
      <c r="F40" t="s">
        <v>260</v>
      </c>
      <c r="G40" t="s">
        <v>261</v>
      </c>
    </row>
    <row r="41" spans="1:7" x14ac:dyDescent="0.3">
      <c r="A41" t="s">
        <v>262</v>
      </c>
      <c r="B41" t="s">
        <v>263</v>
      </c>
      <c r="C41" t="s">
        <v>264</v>
      </c>
      <c r="D41" t="s">
        <v>265</v>
      </c>
      <c r="E41" t="s">
        <v>266</v>
      </c>
      <c r="F41" t="s">
        <v>267</v>
      </c>
      <c r="G41" t="s">
        <v>268</v>
      </c>
    </row>
    <row r="42" spans="1:7" x14ac:dyDescent="0.3">
      <c r="A42" t="s">
        <v>269</v>
      </c>
      <c r="B42" t="s">
        <v>270</v>
      </c>
      <c r="C42" t="s">
        <v>271</v>
      </c>
      <c r="D42" t="s">
        <v>272</v>
      </c>
      <c r="E42" t="s">
        <v>273</v>
      </c>
      <c r="F42" t="s">
        <v>274</v>
      </c>
      <c r="G42" t="s">
        <v>275</v>
      </c>
    </row>
    <row r="43" spans="1:7" x14ac:dyDescent="0.3">
      <c r="A43" t="s">
        <v>276</v>
      </c>
      <c r="B43" t="s">
        <v>277</v>
      </c>
      <c r="C43" t="s">
        <v>278</v>
      </c>
      <c r="D43" t="s">
        <v>63</v>
      </c>
      <c r="E43" t="s">
        <v>279</v>
      </c>
      <c r="F43" t="s">
        <v>280</v>
      </c>
      <c r="G43" t="s">
        <v>281</v>
      </c>
    </row>
    <row r="44" spans="1:7" x14ac:dyDescent="0.3">
      <c r="A44" t="s">
        <v>282</v>
      </c>
      <c r="B44" t="s">
        <v>283</v>
      </c>
      <c r="C44" t="s">
        <v>284</v>
      </c>
      <c r="D44" t="s">
        <v>177</v>
      </c>
      <c r="E44" t="s">
        <v>285</v>
      </c>
      <c r="F44" t="s">
        <v>286</v>
      </c>
      <c r="G44" t="s">
        <v>287</v>
      </c>
    </row>
    <row r="45" spans="1:7" x14ac:dyDescent="0.3">
      <c r="A45" t="s">
        <v>288</v>
      </c>
      <c r="B45" t="s">
        <v>288</v>
      </c>
      <c r="C45" t="s">
        <v>289</v>
      </c>
      <c r="D45" t="s">
        <v>290</v>
      </c>
      <c r="E45" t="s">
        <v>291</v>
      </c>
      <c r="F45" t="s">
        <v>292</v>
      </c>
      <c r="G45" t="s">
        <v>293</v>
      </c>
    </row>
    <row r="46" spans="1:7" x14ac:dyDescent="0.3">
      <c r="A46" t="s">
        <v>294</v>
      </c>
      <c r="B46" t="s">
        <v>295</v>
      </c>
      <c r="C46" t="s">
        <v>296</v>
      </c>
      <c r="D46" t="s">
        <v>157</v>
      </c>
      <c r="E46" t="s">
        <v>297</v>
      </c>
      <c r="F46" t="s">
        <v>298</v>
      </c>
      <c r="G46" t="s">
        <v>299</v>
      </c>
    </row>
    <row r="47" spans="1:7" x14ac:dyDescent="0.3">
      <c r="A47" t="s">
        <v>300</v>
      </c>
      <c r="B47" t="s">
        <v>301</v>
      </c>
      <c r="C47" t="s">
        <v>302</v>
      </c>
      <c r="D47" t="s">
        <v>265</v>
      </c>
      <c r="E47" t="s">
        <v>303</v>
      </c>
      <c r="F47" t="s">
        <v>304</v>
      </c>
      <c r="G47" t="s">
        <v>305</v>
      </c>
    </row>
    <row r="48" spans="1:7" x14ac:dyDescent="0.3">
      <c r="A48" t="s">
        <v>306</v>
      </c>
      <c r="B48" t="s">
        <v>307</v>
      </c>
      <c r="C48" t="s">
        <v>308</v>
      </c>
      <c r="D48" t="s">
        <v>97</v>
      </c>
      <c r="E48" t="s">
        <v>309</v>
      </c>
      <c r="F48" t="s">
        <v>310</v>
      </c>
      <c r="G48" t="s">
        <v>311</v>
      </c>
    </row>
    <row r="49" spans="1:7" x14ac:dyDescent="0.3">
      <c r="A49" t="s">
        <v>312</v>
      </c>
      <c r="B49" t="s">
        <v>313</v>
      </c>
      <c r="C49" t="s">
        <v>314</v>
      </c>
      <c r="D49" t="s">
        <v>315</v>
      </c>
      <c r="E49" t="s">
        <v>316</v>
      </c>
      <c r="F49" t="s">
        <v>317</v>
      </c>
      <c r="G49" t="s">
        <v>318</v>
      </c>
    </row>
    <row r="50" spans="1:7" x14ac:dyDescent="0.3">
      <c r="A50" t="s">
        <v>319</v>
      </c>
      <c r="B50" t="s">
        <v>320</v>
      </c>
      <c r="C50" t="s">
        <v>321</v>
      </c>
      <c r="D50" t="s">
        <v>322</v>
      </c>
      <c r="E50" t="s">
        <v>323</v>
      </c>
      <c r="F50" t="s">
        <v>324</v>
      </c>
      <c r="G50" t="s">
        <v>325</v>
      </c>
    </row>
    <row r="51" spans="1:7" x14ac:dyDescent="0.3">
      <c r="A51" t="s">
        <v>326</v>
      </c>
      <c r="B51" t="s">
        <v>327</v>
      </c>
      <c r="C51" t="s">
        <v>328</v>
      </c>
      <c r="D51" t="s">
        <v>177</v>
      </c>
      <c r="E51" t="s">
        <v>329</v>
      </c>
      <c r="F51" t="s">
        <v>330</v>
      </c>
      <c r="G51" t="s">
        <v>331</v>
      </c>
    </row>
    <row r="52" spans="1:7" x14ac:dyDescent="0.3">
      <c r="A52" t="s">
        <v>332</v>
      </c>
      <c r="B52" t="s">
        <v>333</v>
      </c>
      <c r="C52" t="s">
        <v>334</v>
      </c>
      <c r="D52" t="s">
        <v>335</v>
      </c>
      <c r="E52" t="s">
        <v>336</v>
      </c>
      <c r="F52" t="s">
        <v>337</v>
      </c>
      <c r="G52" t="s">
        <v>338</v>
      </c>
    </row>
    <row r="53" spans="1:7" x14ac:dyDescent="0.3">
      <c r="A53" t="s">
        <v>339</v>
      </c>
      <c r="B53" t="s">
        <v>340</v>
      </c>
      <c r="C53" t="s">
        <v>341</v>
      </c>
      <c r="D53" t="s">
        <v>342</v>
      </c>
      <c r="E53" t="s">
        <v>343</v>
      </c>
      <c r="F53" t="s">
        <v>344</v>
      </c>
      <c r="G53" t="s">
        <v>345</v>
      </c>
    </row>
    <row r="54" spans="1:7" x14ac:dyDescent="0.3">
      <c r="A54" t="s">
        <v>346</v>
      </c>
      <c r="B54" t="s">
        <v>347</v>
      </c>
      <c r="C54" t="s">
        <v>348</v>
      </c>
      <c r="D54" t="s">
        <v>97</v>
      </c>
      <c r="E54" t="s">
        <v>349</v>
      </c>
      <c r="F54" t="s">
        <v>350</v>
      </c>
      <c r="G54" t="s">
        <v>351</v>
      </c>
    </row>
    <row r="55" spans="1:7" x14ac:dyDescent="0.3">
      <c r="A55" t="s">
        <v>352</v>
      </c>
      <c r="B55" t="s">
        <v>353</v>
      </c>
      <c r="C55" t="s">
        <v>354</v>
      </c>
      <c r="D55" t="s">
        <v>30</v>
      </c>
      <c r="E55" t="s">
        <v>355</v>
      </c>
      <c r="F55" t="s">
        <v>356</v>
      </c>
      <c r="G55" t="s">
        <v>357</v>
      </c>
    </row>
    <row r="56" spans="1:7" x14ac:dyDescent="0.3">
      <c r="A56" t="s">
        <v>358</v>
      </c>
      <c r="B56" t="s">
        <v>359</v>
      </c>
      <c r="C56" t="s">
        <v>360</v>
      </c>
      <c r="D56" t="s">
        <v>361</v>
      </c>
      <c r="E56" t="s">
        <v>362</v>
      </c>
      <c r="F56" t="s">
        <v>363</v>
      </c>
      <c r="G56" t="s">
        <v>364</v>
      </c>
    </row>
    <row r="57" spans="1:7" x14ac:dyDescent="0.3">
      <c r="A57" t="s">
        <v>365</v>
      </c>
      <c r="B57" t="s">
        <v>366</v>
      </c>
      <c r="C57" t="s">
        <v>367</v>
      </c>
      <c r="D57" t="s">
        <v>36</v>
      </c>
      <c r="E57" t="s">
        <v>368</v>
      </c>
      <c r="F57" t="s">
        <v>369</v>
      </c>
      <c r="G57" t="s">
        <v>370</v>
      </c>
    </row>
    <row r="58" spans="1:7" x14ac:dyDescent="0.3">
      <c r="A58" t="s">
        <v>371</v>
      </c>
      <c r="B58" t="s">
        <v>372</v>
      </c>
      <c r="C58" t="s">
        <v>373</v>
      </c>
      <c r="D58" t="s">
        <v>374</v>
      </c>
      <c r="E58" t="s">
        <v>375</v>
      </c>
      <c r="F58" t="s">
        <v>376</v>
      </c>
      <c r="G58" t="s">
        <v>377</v>
      </c>
    </row>
    <row r="59" spans="1:7" x14ac:dyDescent="0.3">
      <c r="A59" t="s">
        <v>378</v>
      </c>
      <c r="B59" t="s">
        <v>379</v>
      </c>
      <c r="C59" t="s">
        <v>380</v>
      </c>
      <c r="D59" t="s">
        <v>374</v>
      </c>
      <c r="E59" t="s">
        <v>381</v>
      </c>
      <c r="F59" t="s">
        <v>382</v>
      </c>
      <c r="G59" t="s">
        <v>383</v>
      </c>
    </row>
    <row r="60" spans="1:7" x14ac:dyDescent="0.3">
      <c r="A60" t="s">
        <v>384</v>
      </c>
      <c r="B60" t="s">
        <v>385</v>
      </c>
      <c r="C60" t="s">
        <v>386</v>
      </c>
      <c r="D60" t="s">
        <v>387</v>
      </c>
      <c r="E60" t="s">
        <v>388</v>
      </c>
      <c r="F60" t="s">
        <v>389</v>
      </c>
      <c r="G60" t="s">
        <v>390</v>
      </c>
    </row>
    <row r="61" spans="1:7" x14ac:dyDescent="0.3">
      <c r="A61" t="s">
        <v>391</v>
      </c>
      <c r="B61" t="s">
        <v>392</v>
      </c>
      <c r="C61" t="s">
        <v>393</v>
      </c>
      <c r="D61" t="s">
        <v>394</v>
      </c>
      <c r="E61" t="s">
        <v>395</v>
      </c>
      <c r="F61" t="s">
        <v>396</v>
      </c>
      <c r="G61" t="s">
        <v>397</v>
      </c>
    </row>
    <row r="62" spans="1:7" x14ac:dyDescent="0.3">
      <c r="A62" t="s">
        <v>398</v>
      </c>
      <c r="B62" t="s">
        <v>399</v>
      </c>
      <c r="C62" t="s">
        <v>400</v>
      </c>
      <c r="D62" t="s">
        <v>401</v>
      </c>
      <c r="E62" t="s">
        <v>402</v>
      </c>
      <c r="F62" t="s">
        <v>403</v>
      </c>
      <c r="G62" t="s">
        <v>404</v>
      </c>
    </row>
    <row r="63" spans="1:7" x14ac:dyDescent="0.3">
      <c r="A63" t="s">
        <v>1</v>
      </c>
      <c r="B63" t="s">
        <v>405</v>
      </c>
      <c r="C63" t="s">
        <v>406</v>
      </c>
      <c r="D63" t="s">
        <v>177</v>
      </c>
      <c r="E63" t="s">
        <v>407</v>
      </c>
      <c r="F63" t="s">
        <v>408</v>
      </c>
      <c r="G63" t="s">
        <v>409</v>
      </c>
    </row>
    <row r="64" spans="1:7" x14ac:dyDescent="0.3">
      <c r="A64" t="s">
        <v>410</v>
      </c>
      <c r="B64" t="s">
        <v>411</v>
      </c>
      <c r="C64" t="s">
        <v>412</v>
      </c>
      <c r="D64" t="s">
        <v>205</v>
      </c>
      <c r="E64" t="s">
        <v>413</v>
      </c>
      <c r="F64" t="s">
        <v>414</v>
      </c>
      <c r="G64" t="s">
        <v>415</v>
      </c>
    </row>
    <row r="65" spans="1:7" x14ac:dyDescent="0.3">
      <c r="A65" t="s">
        <v>416</v>
      </c>
      <c r="B65" t="s">
        <v>417</v>
      </c>
      <c r="C65" t="s">
        <v>418</v>
      </c>
      <c r="D65" t="s">
        <v>419</v>
      </c>
      <c r="E65" t="s">
        <v>420</v>
      </c>
      <c r="F65" t="s">
        <v>421</v>
      </c>
      <c r="G65" t="s">
        <v>422</v>
      </c>
    </row>
    <row r="66" spans="1:7" x14ac:dyDescent="0.3">
      <c r="A66" t="s">
        <v>423</v>
      </c>
      <c r="B66" t="s">
        <v>424</v>
      </c>
      <c r="C66" t="s">
        <v>425</v>
      </c>
      <c r="D66" t="s">
        <v>36</v>
      </c>
      <c r="E66" t="s">
        <v>426</v>
      </c>
      <c r="F66" t="s">
        <v>427</v>
      </c>
      <c r="G66" t="s">
        <v>428</v>
      </c>
    </row>
    <row r="67" spans="1:7" x14ac:dyDescent="0.3">
      <c r="A67" t="s">
        <v>429</v>
      </c>
      <c r="B67" t="s">
        <v>430</v>
      </c>
      <c r="C67" t="s">
        <v>431</v>
      </c>
      <c r="D67" t="s">
        <v>184</v>
      </c>
      <c r="E67" t="s">
        <v>432</v>
      </c>
      <c r="F67" t="s">
        <v>433</v>
      </c>
      <c r="G67" t="s">
        <v>434</v>
      </c>
    </row>
    <row r="68" spans="1:7" x14ac:dyDescent="0.3">
      <c r="A68" t="s">
        <v>435</v>
      </c>
      <c r="B68" t="s">
        <v>436</v>
      </c>
      <c r="C68" t="s">
        <v>437</v>
      </c>
      <c r="D68" t="s">
        <v>23</v>
      </c>
      <c r="E68" t="s">
        <v>438</v>
      </c>
      <c r="F68" t="s">
        <v>439</v>
      </c>
      <c r="G68" t="s">
        <v>440</v>
      </c>
    </row>
    <row r="69" spans="1:7" x14ac:dyDescent="0.3">
      <c r="A69" t="s">
        <v>441</v>
      </c>
      <c r="B69" t="s">
        <v>442</v>
      </c>
      <c r="C69" t="s">
        <v>443</v>
      </c>
      <c r="D69" t="s">
        <v>77</v>
      </c>
      <c r="E69" t="s">
        <v>444</v>
      </c>
      <c r="F69" t="s">
        <v>330</v>
      </c>
      <c r="G69" t="s">
        <v>445</v>
      </c>
    </row>
    <row r="70" spans="1:7" x14ac:dyDescent="0.3">
      <c r="A70" t="s">
        <v>446</v>
      </c>
      <c r="B70" t="s">
        <v>447</v>
      </c>
      <c r="C70" t="s">
        <v>448</v>
      </c>
      <c r="D70" t="s">
        <v>449</v>
      </c>
      <c r="E70" t="s">
        <v>450</v>
      </c>
      <c r="F70" t="s">
        <v>451</v>
      </c>
      <c r="G70" t="s">
        <v>452</v>
      </c>
    </row>
    <row r="71" spans="1:7" x14ac:dyDescent="0.3">
      <c r="A71" t="s">
        <v>453</v>
      </c>
      <c r="B71" t="s">
        <v>454</v>
      </c>
      <c r="C71" t="s">
        <v>455</v>
      </c>
      <c r="D71" t="s">
        <v>394</v>
      </c>
      <c r="E71" t="s">
        <v>456</v>
      </c>
      <c r="F71" t="s">
        <v>457</v>
      </c>
      <c r="G71" t="s">
        <v>458</v>
      </c>
    </row>
    <row r="72" spans="1:7" x14ac:dyDescent="0.3">
      <c r="A72" t="s">
        <v>459</v>
      </c>
      <c r="B72" t="s">
        <v>460</v>
      </c>
      <c r="C72" t="s">
        <v>461</v>
      </c>
      <c r="D72" t="s">
        <v>198</v>
      </c>
      <c r="E72" t="s">
        <v>462</v>
      </c>
      <c r="F72" t="s">
        <v>463</v>
      </c>
      <c r="G72" t="s">
        <v>464</v>
      </c>
    </row>
    <row r="73" spans="1:7" x14ac:dyDescent="0.3">
      <c r="A73" t="s">
        <v>219</v>
      </c>
      <c r="B73" t="s">
        <v>465</v>
      </c>
      <c r="C73" t="s">
        <v>466</v>
      </c>
      <c r="D73" t="s">
        <v>467</v>
      </c>
      <c r="E73" t="s">
        <v>468</v>
      </c>
      <c r="F73" t="s">
        <v>469</v>
      </c>
      <c r="G73" t="s">
        <v>470</v>
      </c>
    </row>
    <row r="74" spans="1:7" x14ac:dyDescent="0.3">
      <c r="A74" t="s">
        <v>471</v>
      </c>
      <c r="B74" t="s">
        <v>472</v>
      </c>
      <c r="C74" t="s">
        <v>473</v>
      </c>
      <c r="D74" t="s">
        <v>474</v>
      </c>
      <c r="E74" t="s">
        <v>475</v>
      </c>
      <c r="F74" t="s">
        <v>476</v>
      </c>
      <c r="G74" t="s">
        <v>477</v>
      </c>
    </row>
    <row r="75" spans="1:7" x14ac:dyDescent="0.3">
      <c r="A75" t="s">
        <v>478</v>
      </c>
      <c r="B75" t="s">
        <v>479</v>
      </c>
      <c r="C75" t="s">
        <v>480</v>
      </c>
      <c r="D75" t="s">
        <v>481</v>
      </c>
      <c r="E75" t="s">
        <v>482</v>
      </c>
      <c r="F75" t="s">
        <v>483</v>
      </c>
      <c r="G75" t="s">
        <v>484</v>
      </c>
    </row>
    <row r="76" spans="1:7" x14ac:dyDescent="0.3">
      <c r="A76" t="s">
        <v>485</v>
      </c>
      <c r="B76" t="s">
        <v>485</v>
      </c>
      <c r="C76" t="s">
        <v>486</v>
      </c>
      <c r="D76" t="s">
        <v>487</v>
      </c>
      <c r="E76" t="s">
        <v>488</v>
      </c>
      <c r="F76" t="s">
        <v>489</v>
      </c>
      <c r="G76" t="s">
        <v>490</v>
      </c>
    </row>
    <row r="77" spans="1:7" x14ac:dyDescent="0.3">
      <c r="A77" t="s">
        <v>491</v>
      </c>
      <c r="B77" t="s">
        <v>492</v>
      </c>
      <c r="C77" t="s">
        <v>493</v>
      </c>
      <c r="D77" t="s">
        <v>494</v>
      </c>
      <c r="E77" t="s">
        <v>495</v>
      </c>
      <c r="F77" t="s">
        <v>496</v>
      </c>
      <c r="G77" t="s">
        <v>497</v>
      </c>
    </row>
    <row r="78" spans="1:7" x14ac:dyDescent="0.3">
      <c r="A78" t="s">
        <v>498</v>
      </c>
      <c r="B78" t="s">
        <v>499</v>
      </c>
      <c r="C78" t="s">
        <v>500</v>
      </c>
      <c r="D78" t="s">
        <v>387</v>
      </c>
      <c r="E78" t="s">
        <v>501</v>
      </c>
      <c r="F78" t="s">
        <v>502</v>
      </c>
      <c r="G78" t="s">
        <v>503</v>
      </c>
    </row>
    <row r="79" spans="1:7" x14ac:dyDescent="0.3">
      <c r="A79" t="s">
        <v>504</v>
      </c>
      <c r="B79" t="s">
        <v>505</v>
      </c>
      <c r="C79" t="s">
        <v>506</v>
      </c>
      <c r="D79" t="s">
        <v>157</v>
      </c>
      <c r="E79" t="s">
        <v>507</v>
      </c>
      <c r="F79" t="s">
        <v>508</v>
      </c>
      <c r="G79" t="s">
        <v>509</v>
      </c>
    </row>
    <row r="80" spans="1:7" x14ac:dyDescent="0.3">
      <c r="A80" t="s">
        <v>510</v>
      </c>
      <c r="B80" t="s">
        <v>510</v>
      </c>
      <c r="C80" t="s">
        <v>511</v>
      </c>
      <c r="D80" t="s">
        <v>265</v>
      </c>
      <c r="E80" t="s">
        <v>512</v>
      </c>
      <c r="F80" t="s">
        <v>513</v>
      </c>
      <c r="G80" t="s">
        <v>514</v>
      </c>
    </row>
    <row r="81" spans="1:7" x14ac:dyDescent="0.3">
      <c r="A81" t="s">
        <v>515</v>
      </c>
      <c r="B81" t="s">
        <v>516</v>
      </c>
      <c r="C81" t="s">
        <v>517</v>
      </c>
      <c r="D81" t="s">
        <v>518</v>
      </c>
      <c r="E81" t="s">
        <v>519</v>
      </c>
      <c r="F81" t="s">
        <v>520</v>
      </c>
      <c r="G81" t="s">
        <v>521</v>
      </c>
    </row>
    <row r="82" spans="1:7" x14ac:dyDescent="0.3">
      <c r="A82" t="s">
        <v>522</v>
      </c>
      <c r="B82" t="s">
        <v>522</v>
      </c>
      <c r="C82" t="s">
        <v>523</v>
      </c>
      <c r="D82" t="s">
        <v>524</v>
      </c>
      <c r="E82" t="s">
        <v>525</v>
      </c>
      <c r="F82" t="s">
        <v>526</v>
      </c>
      <c r="G82" t="s">
        <v>527</v>
      </c>
    </row>
    <row r="83" spans="1:7" x14ac:dyDescent="0.3">
      <c r="A83" t="s">
        <v>528</v>
      </c>
      <c r="B83" t="s">
        <v>529</v>
      </c>
      <c r="C83" t="s">
        <v>530</v>
      </c>
      <c r="D83" t="s">
        <v>531</v>
      </c>
      <c r="E83" t="s">
        <v>532</v>
      </c>
      <c r="F83" t="s">
        <v>533</v>
      </c>
      <c r="G83" t="s">
        <v>534</v>
      </c>
    </row>
    <row r="84" spans="1:7" x14ac:dyDescent="0.3">
      <c r="A84" t="s">
        <v>535</v>
      </c>
      <c r="B84" t="s">
        <v>536</v>
      </c>
      <c r="C84" t="s">
        <v>537</v>
      </c>
      <c r="D84" t="s">
        <v>56</v>
      </c>
      <c r="E84" t="s">
        <v>538</v>
      </c>
      <c r="F84" t="s">
        <v>539</v>
      </c>
      <c r="G84" t="s">
        <v>540</v>
      </c>
    </row>
    <row r="85" spans="1:7" x14ac:dyDescent="0.3">
      <c r="A85" t="s">
        <v>541</v>
      </c>
      <c r="B85" t="s">
        <v>542</v>
      </c>
      <c r="C85" t="s">
        <v>543</v>
      </c>
      <c r="D85" t="s">
        <v>544</v>
      </c>
      <c r="E85" t="s">
        <v>545</v>
      </c>
      <c r="F85" t="s">
        <v>546</v>
      </c>
      <c r="G85" t="s">
        <v>547</v>
      </c>
    </row>
    <row r="86" spans="1:7" x14ac:dyDescent="0.3">
      <c r="A86" t="s">
        <v>548</v>
      </c>
      <c r="B86" t="s">
        <v>548</v>
      </c>
      <c r="C86" t="s">
        <v>549</v>
      </c>
      <c r="D86" t="s">
        <v>245</v>
      </c>
      <c r="E86" t="s">
        <v>550</v>
      </c>
      <c r="F86" t="s">
        <v>551</v>
      </c>
      <c r="G86" t="s">
        <v>552</v>
      </c>
    </row>
    <row r="87" spans="1:7" x14ac:dyDescent="0.3">
      <c r="A87" t="s">
        <v>553</v>
      </c>
      <c r="B87" t="s">
        <v>554</v>
      </c>
      <c r="C87" t="s">
        <v>555</v>
      </c>
      <c r="D87" t="s">
        <v>556</v>
      </c>
      <c r="E87" t="s">
        <v>557</v>
      </c>
      <c r="F87" t="s">
        <v>558</v>
      </c>
      <c r="G87" t="s">
        <v>126</v>
      </c>
    </row>
    <row r="88" spans="1:7" x14ac:dyDescent="0.3">
      <c r="A88" t="s">
        <v>559</v>
      </c>
      <c r="B88" t="s">
        <v>560</v>
      </c>
      <c r="C88" t="s">
        <v>561</v>
      </c>
      <c r="D88" t="s">
        <v>177</v>
      </c>
      <c r="E88" t="s">
        <v>562</v>
      </c>
      <c r="F88" t="s">
        <v>563</v>
      </c>
      <c r="G88" t="s">
        <v>564</v>
      </c>
    </row>
    <row r="89" spans="1:7" x14ac:dyDescent="0.3">
      <c r="A89" t="s">
        <v>565</v>
      </c>
      <c r="B89" t="s">
        <v>566</v>
      </c>
      <c r="C89" t="s">
        <v>567</v>
      </c>
      <c r="D89" t="s">
        <v>568</v>
      </c>
      <c r="E89" t="s">
        <v>569</v>
      </c>
      <c r="F89" t="s">
        <v>570</v>
      </c>
      <c r="G89" t="s">
        <v>571</v>
      </c>
    </row>
    <row r="90" spans="1:7" x14ac:dyDescent="0.3">
      <c r="A90" t="s">
        <v>572</v>
      </c>
      <c r="B90" t="s">
        <v>573</v>
      </c>
      <c r="C90" t="s">
        <v>574</v>
      </c>
      <c r="D90" t="s">
        <v>49</v>
      </c>
      <c r="E90" t="s">
        <v>575</v>
      </c>
      <c r="F90" t="s">
        <v>576</v>
      </c>
      <c r="G90" t="s">
        <v>577</v>
      </c>
    </row>
    <row r="91" spans="1:7" x14ac:dyDescent="0.3">
      <c r="A91" t="s">
        <v>578</v>
      </c>
      <c r="B91" t="s">
        <v>579</v>
      </c>
      <c r="C91" t="s">
        <v>580</v>
      </c>
      <c r="D91" t="s">
        <v>290</v>
      </c>
      <c r="E91" t="s">
        <v>581</v>
      </c>
      <c r="F91" t="s">
        <v>582</v>
      </c>
      <c r="G91" t="s">
        <v>583</v>
      </c>
    </row>
    <row r="92" spans="1:7" x14ac:dyDescent="0.3">
      <c r="A92" t="s">
        <v>584</v>
      </c>
      <c r="B92" t="s">
        <v>584</v>
      </c>
      <c r="C92" t="s">
        <v>585</v>
      </c>
      <c r="D92" t="s">
        <v>198</v>
      </c>
      <c r="E92" t="s">
        <v>586</v>
      </c>
      <c r="F92" t="s">
        <v>587</v>
      </c>
      <c r="G92" t="s">
        <v>588</v>
      </c>
    </row>
    <row r="93" spans="1:7" x14ac:dyDescent="0.3">
      <c r="A93" t="s">
        <v>589</v>
      </c>
      <c r="B93" t="s">
        <v>590</v>
      </c>
      <c r="C93" t="s">
        <v>591</v>
      </c>
      <c r="D93" t="s">
        <v>177</v>
      </c>
      <c r="E93" t="s">
        <v>592</v>
      </c>
      <c r="F93" t="s">
        <v>593</v>
      </c>
      <c r="G93" t="s">
        <v>594</v>
      </c>
    </row>
    <row r="94" spans="1:7" x14ac:dyDescent="0.3">
      <c r="A94" t="s">
        <v>595</v>
      </c>
      <c r="B94" t="s">
        <v>596</v>
      </c>
      <c r="C94" t="s">
        <v>597</v>
      </c>
      <c r="D94" t="s">
        <v>198</v>
      </c>
      <c r="E94" t="s">
        <v>598</v>
      </c>
      <c r="F94" t="s">
        <v>599</v>
      </c>
      <c r="G94" t="s">
        <v>600</v>
      </c>
    </row>
    <row r="95" spans="1:7" x14ac:dyDescent="0.3">
      <c r="A95" t="s">
        <v>601</v>
      </c>
      <c r="B95" t="s">
        <v>602</v>
      </c>
      <c r="C95" t="s">
        <v>603</v>
      </c>
      <c r="D95" t="s">
        <v>97</v>
      </c>
      <c r="E95" t="s">
        <v>604</v>
      </c>
      <c r="F95" t="s">
        <v>605</v>
      </c>
      <c r="G95" t="s">
        <v>606</v>
      </c>
    </row>
    <row r="96" spans="1:7" x14ac:dyDescent="0.3">
      <c r="A96" t="s">
        <v>607</v>
      </c>
      <c r="B96" t="s">
        <v>608</v>
      </c>
      <c r="C96" t="s">
        <v>609</v>
      </c>
      <c r="D96" t="s">
        <v>610</v>
      </c>
      <c r="E96" t="s">
        <v>611</v>
      </c>
      <c r="F96" t="s">
        <v>612</v>
      </c>
      <c r="G96" t="s">
        <v>613</v>
      </c>
    </row>
    <row r="97" spans="1:7" x14ac:dyDescent="0.3">
      <c r="A97" t="s">
        <v>614</v>
      </c>
      <c r="B97" t="s">
        <v>615</v>
      </c>
      <c r="C97" t="s">
        <v>616</v>
      </c>
      <c r="D97" t="s">
        <v>177</v>
      </c>
      <c r="E97" t="s">
        <v>617</v>
      </c>
      <c r="F97" t="s">
        <v>618</v>
      </c>
      <c r="G97" t="s">
        <v>619</v>
      </c>
    </row>
    <row r="98" spans="1:7" x14ac:dyDescent="0.3">
      <c r="A98" t="s">
        <v>620</v>
      </c>
      <c r="B98" t="s">
        <v>621</v>
      </c>
      <c r="C98" t="s">
        <v>622</v>
      </c>
      <c r="D98" t="s">
        <v>144</v>
      </c>
      <c r="E98" t="s">
        <v>623</v>
      </c>
      <c r="F98" t="s">
        <v>624</v>
      </c>
      <c r="G98" t="s">
        <v>625</v>
      </c>
    </row>
    <row r="99" spans="1:7" x14ac:dyDescent="0.3">
      <c r="A99" t="s">
        <v>626</v>
      </c>
      <c r="B99" t="s">
        <v>627</v>
      </c>
      <c r="C99" t="s">
        <v>628</v>
      </c>
      <c r="D99" t="s">
        <v>30</v>
      </c>
      <c r="E99" t="s">
        <v>629</v>
      </c>
      <c r="F99" t="s">
        <v>630</v>
      </c>
      <c r="G99" t="s">
        <v>631</v>
      </c>
    </row>
    <row r="100" spans="1:7" x14ac:dyDescent="0.3">
      <c r="A100" t="s">
        <v>632</v>
      </c>
      <c r="B100" t="s">
        <v>633</v>
      </c>
      <c r="C100" t="s">
        <v>634</v>
      </c>
      <c r="D100" t="s">
        <v>335</v>
      </c>
      <c r="E100" t="s">
        <v>635</v>
      </c>
      <c r="F100" t="s">
        <v>636</v>
      </c>
      <c r="G100" t="s">
        <v>637</v>
      </c>
    </row>
    <row r="101" spans="1:7" x14ac:dyDescent="0.3">
      <c r="A101" t="s">
        <v>638</v>
      </c>
      <c r="B101" t="s">
        <v>639</v>
      </c>
      <c r="C101" t="s">
        <v>640</v>
      </c>
      <c r="D101" t="s">
        <v>245</v>
      </c>
      <c r="E101" t="s">
        <v>641</v>
      </c>
      <c r="F101" t="s">
        <v>642</v>
      </c>
      <c r="G101" t="s">
        <v>643</v>
      </c>
    </row>
    <row r="102" spans="1:7" x14ac:dyDescent="0.3">
      <c r="A102" t="s">
        <v>644</v>
      </c>
      <c r="B102" t="s">
        <v>645</v>
      </c>
      <c r="C102" t="s">
        <v>646</v>
      </c>
      <c r="D102" t="s">
        <v>647</v>
      </c>
      <c r="E102" t="s">
        <v>648</v>
      </c>
      <c r="F102" t="s">
        <v>649</v>
      </c>
      <c r="G102" t="s">
        <v>650</v>
      </c>
    </row>
    <row r="103" spans="1:7" x14ac:dyDescent="0.3">
      <c r="A103" t="s">
        <v>651</v>
      </c>
      <c r="B103" t="s">
        <v>651</v>
      </c>
      <c r="C103" t="s">
        <v>652</v>
      </c>
      <c r="D103" t="s">
        <v>653</v>
      </c>
      <c r="E103" t="s">
        <v>654</v>
      </c>
      <c r="F103" t="s">
        <v>655</v>
      </c>
      <c r="G103" t="s">
        <v>656</v>
      </c>
    </row>
    <row r="104" spans="1:7" x14ac:dyDescent="0.3">
      <c r="A104" t="s">
        <v>657</v>
      </c>
      <c r="B104" t="s">
        <v>658</v>
      </c>
      <c r="C104" t="s">
        <v>659</v>
      </c>
      <c r="D104" t="s">
        <v>123</v>
      </c>
      <c r="E104" t="s">
        <v>660</v>
      </c>
      <c r="F104" t="s">
        <v>661</v>
      </c>
      <c r="G104" t="s">
        <v>662</v>
      </c>
    </row>
    <row r="105" spans="1:7" x14ac:dyDescent="0.3">
      <c r="A105" t="s">
        <v>663</v>
      </c>
      <c r="B105" t="s">
        <v>664</v>
      </c>
      <c r="C105" t="s">
        <v>665</v>
      </c>
      <c r="D105" t="s">
        <v>97</v>
      </c>
      <c r="E105" t="s">
        <v>666</v>
      </c>
      <c r="F105" t="s">
        <v>667</v>
      </c>
      <c r="G105" t="s">
        <v>668</v>
      </c>
    </row>
    <row r="106" spans="1:7" x14ac:dyDescent="0.3">
      <c r="A106" t="s">
        <v>669</v>
      </c>
      <c r="B106" t="s">
        <v>670</v>
      </c>
      <c r="C106" t="s">
        <v>671</v>
      </c>
      <c r="D106" t="s">
        <v>177</v>
      </c>
      <c r="E106" t="s">
        <v>672</v>
      </c>
      <c r="F106" t="s">
        <v>673</v>
      </c>
      <c r="G106" t="s">
        <v>674</v>
      </c>
    </row>
    <row r="107" spans="1:7" x14ac:dyDescent="0.3">
      <c r="A107" t="s">
        <v>675</v>
      </c>
      <c r="B107" t="s">
        <v>676</v>
      </c>
      <c r="C107" t="s">
        <v>677</v>
      </c>
      <c r="D107" t="s">
        <v>77</v>
      </c>
      <c r="E107" t="s">
        <v>678</v>
      </c>
      <c r="F107" t="s">
        <v>679</v>
      </c>
      <c r="G107" t="s">
        <v>680</v>
      </c>
    </row>
    <row r="108" spans="1:7" x14ac:dyDescent="0.3">
      <c r="A108" t="s">
        <v>681</v>
      </c>
      <c r="B108" t="s">
        <v>682</v>
      </c>
      <c r="C108" t="s">
        <v>683</v>
      </c>
      <c r="D108" t="s">
        <v>684</v>
      </c>
      <c r="E108" t="s">
        <v>685</v>
      </c>
      <c r="F108" t="s">
        <v>686</v>
      </c>
      <c r="G108" t="s">
        <v>687</v>
      </c>
    </row>
    <row r="109" spans="1:7" x14ac:dyDescent="0.3">
      <c r="A109" t="s">
        <v>688</v>
      </c>
      <c r="B109" t="s">
        <v>689</v>
      </c>
      <c r="C109" t="s">
        <v>690</v>
      </c>
      <c r="D109" t="s">
        <v>387</v>
      </c>
      <c r="E109" t="s">
        <v>691</v>
      </c>
      <c r="F109" t="s">
        <v>692</v>
      </c>
      <c r="G109" t="s">
        <v>318</v>
      </c>
    </row>
    <row r="110" spans="1:7" x14ac:dyDescent="0.3">
      <c r="A110" t="s">
        <v>693</v>
      </c>
      <c r="B110" t="s">
        <v>694</v>
      </c>
      <c r="C110" t="s">
        <v>695</v>
      </c>
      <c r="D110" t="s">
        <v>696</v>
      </c>
      <c r="E110" t="s">
        <v>697</v>
      </c>
      <c r="F110" t="s">
        <v>698</v>
      </c>
      <c r="G110" t="s">
        <v>699</v>
      </c>
    </row>
    <row r="111" spans="1:7" x14ac:dyDescent="0.3">
      <c r="A111" t="s">
        <v>700</v>
      </c>
      <c r="B111" t="s">
        <v>701</v>
      </c>
      <c r="C111" t="s">
        <v>702</v>
      </c>
      <c r="D111" t="s">
        <v>474</v>
      </c>
      <c r="E111" t="s">
        <v>703</v>
      </c>
      <c r="F111" t="s">
        <v>704</v>
      </c>
      <c r="G111" t="s">
        <v>705</v>
      </c>
    </row>
    <row r="112" spans="1:7" x14ac:dyDescent="0.3">
      <c r="A112" t="s">
        <v>706</v>
      </c>
      <c r="B112" t="s">
        <v>707</v>
      </c>
      <c r="C112" t="s">
        <v>708</v>
      </c>
      <c r="D112" t="s">
        <v>709</v>
      </c>
      <c r="E112" t="s">
        <v>710</v>
      </c>
      <c r="F112" t="s">
        <v>711</v>
      </c>
      <c r="G112" t="s">
        <v>712</v>
      </c>
    </row>
    <row r="113" spans="1:7" x14ac:dyDescent="0.3">
      <c r="A113" t="s">
        <v>713</v>
      </c>
      <c r="B113" t="s">
        <v>714</v>
      </c>
      <c r="C113" t="s">
        <v>715</v>
      </c>
      <c r="D113" t="s">
        <v>716</v>
      </c>
      <c r="E113" t="s">
        <v>717</v>
      </c>
      <c r="F113" t="s">
        <v>718</v>
      </c>
      <c r="G113" t="s">
        <v>719</v>
      </c>
    </row>
    <row r="114" spans="1:7" x14ac:dyDescent="0.3">
      <c r="A114" t="s">
        <v>720</v>
      </c>
      <c r="B114" t="s">
        <v>721</v>
      </c>
      <c r="C114" t="s">
        <v>722</v>
      </c>
      <c r="D114" t="s">
        <v>252</v>
      </c>
      <c r="E114" t="s">
        <v>723</v>
      </c>
      <c r="F114" t="s">
        <v>724</v>
      </c>
      <c r="G114" t="s">
        <v>725</v>
      </c>
    </row>
    <row r="115" spans="1:7" x14ac:dyDescent="0.3">
      <c r="A115" t="s">
        <v>726</v>
      </c>
      <c r="B115" t="s">
        <v>727</v>
      </c>
      <c r="C115" t="s">
        <v>728</v>
      </c>
      <c r="D115" t="s">
        <v>653</v>
      </c>
      <c r="E115" t="s">
        <v>729</v>
      </c>
      <c r="F115" t="s">
        <v>730</v>
      </c>
      <c r="G115" t="s">
        <v>731</v>
      </c>
    </row>
    <row r="116" spans="1:7" x14ac:dyDescent="0.3">
      <c r="A116" t="s">
        <v>732</v>
      </c>
      <c r="B116" t="s">
        <v>733</v>
      </c>
      <c r="C116" t="s">
        <v>734</v>
      </c>
      <c r="D116" t="s">
        <v>735</v>
      </c>
      <c r="E116" t="s">
        <v>736</v>
      </c>
      <c r="F116" t="s">
        <v>737</v>
      </c>
      <c r="G116" t="s">
        <v>738</v>
      </c>
    </row>
    <row r="117" spans="1:7" x14ac:dyDescent="0.3">
      <c r="A117" t="s">
        <v>739</v>
      </c>
      <c r="B117" t="s">
        <v>739</v>
      </c>
      <c r="C117" t="s">
        <v>740</v>
      </c>
      <c r="D117" t="s">
        <v>741</v>
      </c>
      <c r="E117" t="s">
        <v>742</v>
      </c>
      <c r="F117" t="s">
        <v>743</v>
      </c>
      <c r="G117" t="s">
        <v>744</v>
      </c>
    </row>
    <row r="118" spans="1:7" x14ac:dyDescent="0.3">
      <c r="A118" t="s">
        <v>745</v>
      </c>
      <c r="B118" t="s">
        <v>746</v>
      </c>
      <c r="C118" t="s">
        <v>747</v>
      </c>
      <c r="D118" t="s">
        <v>748</v>
      </c>
      <c r="E118" t="s">
        <v>749</v>
      </c>
      <c r="F118" t="s">
        <v>750</v>
      </c>
      <c r="G118" t="s">
        <v>751</v>
      </c>
    </row>
    <row r="119" spans="1:7" x14ac:dyDescent="0.3">
      <c r="A119" t="s">
        <v>752</v>
      </c>
      <c r="B119" t="s">
        <v>753</v>
      </c>
      <c r="C119" t="s">
        <v>754</v>
      </c>
      <c r="D119" t="s">
        <v>755</v>
      </c>
      <c r="E119" t="s">
        <v>756</v>
      </c>
      <c r="F119" t="s">
        <v>757</v>
      </c>
      <c r="G119" t="s">
        <v>758</v>
      </c>
    </row>
    <row r="120" spans="1:7" x14ac:dyDescent="0.3">
      <c r="A120" t="s">
        <v>759</v>
      </c>
      <c r="B120" t="s">
        <v>760</v>
      </c>
      <c r="C120" t="s">
        <v>761</v>
      </c>
      <c r="D120" t="s">
        <v>322</v>
      </c>
      <c r="E120" t="s">
        <v>762</v>
      </c>
      <c r="F120" t="s">
        <v>763</v>
      </c>
      <c r="G120" t="s">
        <v>764</v>
      </c>
    </row>
    <row r="121" spans="1:7" x14ac:dyDescent="0.3">
      <c r="A121" t="s">
        <v>765</v>
      </c>
      <c r="B121" t="s">
        <v>766</v>
      </c>
      <c r="C121" t="s">
        <v>767</v>
      </c>
      <c r="D121" t="s">
        <v>568</v>
      </c>
      <c r="E121" t="s">
        <v>768</v>
      </c>
      <c r="F121" t="s">
        <v>769</v>
      </c>
      <c r="G121" t="s">
        <v>770</v>
      </c>
    </row>
    <row r="122" spans="1:7" x14ac:dyDescent="0.3">
      <c r="A122" t="s">
        <v>771</v>
      </c>
      <c r="B122" t="s">
        <v>772</v>
      </c>
      <c r="C122" t="s">
        <v>773</v>
      </c>
      <c r="D122" t="s">
        <v>252</v>
      </c>
      <c r="E122" t="s">
        <v>774</v>
      </c>
      <c r="F122" t="s">
        <v>775</v>
      </c>
      <c r="G122" t="s">
        <v>776</v>
      </c>
    </row>
    <row r="123" spans="1:7" x14ac:dyDescent="0.3">
      <c r="A123" t="s">
        <v>777</v>
      </c>
      <c r="B123" t="s">
        <v>778</v>
      </c>
      <c r="C123" t="s">
        <v>779</v>
      </c>
      <c r="D123" t="s">
        <v>342</v>
      </c>
      <c r="E123" t="s">
        <v>780</v>
      </c>
      <c r="F123" t="s">
        <v>781</v>
      </c>
      <c r="G123" t="s">
        <v>782</v>
      </c>
    </row>
    <row r="124" spans="1:7" x14ac:dyDescent="0.3">
      <c r="A124" t="s">
        <v>783</v>
      </c>
      <c r="B124" t="s">
        <v>784</v>
      </c>
      <c r="C124" t="s">
        <v>785</v>
      </c>
      <c r="D124" t="s">
        <v>544</v>
      </c>
      <c r="E124" t="s">
        <v>786</v>
      </c>
      <c r="F124" t="s">
        <v>787</v>
      </c>
      <c r="G124" t="s">
        <v>788</v>
      </c>
    </row>
    <row r="125" spans="1:7" x14ac:dyDescent="0.3">
      <c r="A125" t="s">
        <v>789</v>
      </c>
      <c r="B125" t="s">
        <v>790</v>
      </c>
      <c r="C125" t="s">
        <v>791</v>
      </c>
      <c r="D125" t="s">
        <v>792</v>
      </c>
      <c r="E125" t="s">
        <v>793</v>
      </c>
      <c r="F125" t="s">
        <v>794</v>
      </c>
      <c r="G125" t="s">
        <v>795</v>
      </c>
    </row>
    <row r="126" spans="1:7" x14ac:dyDescent="0.3">
      <c r="A126" t="s">
        <v>796</v>
      </c>
      <c r="B126" t="s">
        <v>797</v>
      </c>
      <c r="C126" t="s">
        <v>798</v>
      </c>
      <c r="D126" t="s">
        <v>387</v>
      </c>
      <c r="E126" t="s">
        <v>799</v>
      </c>
      <c r="F126" t="s">
        <v>800</v>
      </c>
      <c r="G126" t="s">
        <v>801</v>
      </c>
    </row>
    <row r="127" spans="1:7" x14ac:dyDescent="0.3">
      <c r="A127" t="s">
        <v>802</v>
      </c>
      <c r="B127" t="s">
        <v>803</v>
      </c>
      <c r="C127" t="s">
        <v>804</v>
      </c>
      <c r="D127" t="s">
        <v>36</v>
      </c>
      <c r="E127" t="s">
        <v>805</v>
      </c>
      <c r="F127" t="s">
        <v>806</v>
      </c>
      <c r="G127" t="s">
        <v>807</v>
      </c>
    </row>
    <row r="128" spans="1:7" x14ac:dyDescent="0.3">
      <c r="A128" t="s">
        <v>808</v>
      </c>
      <c r="B128" t="s">
        <v>809</v>
      </c>
      <c r="C128" t="s">
        <v>810</v>
      </c>
      <c r="D128" t="s">
        <v>811</v>
      </c>
      <c r="E128" t="s">
        <v>812</v>
      </c>
      <c r="F128" t="s">
        <v>813</v>
      </c>
      <c r="G128" t="s">
        <v>814</v>
      </c>
    </row>
    <row r="129" spans="1:7" x14ac:dyDescent="0.3">
      <c r="A129" t="s">
        <v>815</v>
      </c>
      <c r="B129" t="s">
        <v>816</v>
      </c>
      <c r="C129" t="s">
        <v>817</v>
      </c>
      <c r="D129" t="s">
        <v>684</v>
      </c>
      <c r="E129" t="s">
        <v>818</v>
      </c>
      <c r="F129" t="s">
        <v>819</v>
      </c>
      <c r="G129" t="s">
        <v>820</v>
      </c>
    </row>
    <row r="130" spans="1:7" x14ac:dyDescent="0.3">
      <c r="A130" t="s">
        <v>821</v>
      </c>
      <c r="B130" t="s">
        <v>822</v>
      </c>
      <c r="C130" t="s">
        <v>823</v>
      </c>
      <c r="D130" t="s">
        <v>17</v>
      </c>
      <c r="E130" t="s">
        <v>824</v>
      </c>
      <c r="F130" t="s">
        <v>825</v>
      </c>
      <c r="G130" t="s">
        <v>826</v>
      </c>
    </row>
    <row r="131" spans="1:7" x14ac:dyDescent="0.3">
      <c r="A131" t="s">
        <v>827</v>
      </c>
      <c r="B131" t="s">
        <v>828</v>
      </c>
      <c r="C131" t="s">
        <v>829</v>
      </c>
      <c r="D131" t="s">
        <v>17</v>
      </c>
      <c r="E131" t="s">
        <v>830</v>
      </c>
      <c r="F131" t="s">
        <v>831</v>
      </c>
      <c r="G131" t="s">
        <v>832</v>
      </c>
    </row>
    <row r="132" spans="1:7" x14ac:dyDescent="0.3">
      <c r="A132" t="s">
        <v>833</v>
      </c>
      <c r="B132" t="s">
        <v>833</v>
      </c>
      <c r="C132" t="s">
        <v>834</v>
      </c>
      <c r="D132" t="s">
        <v>177</v>
      </c>
      <c r="E132" t="s">
        <v>835</v>
      </c>
      <c r="F132" t="s">
        <v>330</v>
      </c>
      <c r="G132" t="s">
        <v>836</v>
      </c>
    </row>
    <row r="133" spans="1:7" x14ac:dyDescent="0.3">
      <c r="A133" t="s">
        <v>837</v>
      </c>
      <c r="B133" t="s">
        <v>838</v>
      </c>
      <c r="C133" t="s">
        <v>839</v>
      </c>
      <c r="D133" t="s">
        <v>157</v>
      </c>
      <c r="E133" t="s">
        <v>840</v>
      </c>
      <c r="F133" t="s">
        <v>330</v>
      </c>
      <c r="G133" t="s">
        <v>841</v>
      </c>
    </row>
    <row r="134" spans="1:7" x14ac:dyDescent="0.3">
      <c r="A134" t="s">
        <v>842</v>
      </c>
      <c r="B134" t="s">
        <v>843</v>
      </c>
      <c r="C134" t="s">
        <v>844</v>
      </c>
      <c r="D134" t="s">
        <v>110</v>
      </c>
      <c r="E134" t="s">
        <v>845</v>
      </c>
      <c r="F134" t="s">
        <v>846</v>
      </c>
      <c r="G134" t="s">
        <v>847</v>
      </c>
    </row>
    <row r="135" spans="1:7" x14ac:dyDescent="0.3">
      <c r="A135" t="s">
        <v>848</v>
      </c>
      <c r="B135" t="s">
        <v>849</v>
      </c>
      <c r="C135" t="s">
        <v>850</v>
      </c>
      <c r="D135" t="s">
        <v>157</v>
      </c>
      <c r="E135" t="s">
        <v>851</v>
      </c>
      <c r="F135" t="s">
        <v>852</v>
      </c>
      <c r="G135" t="s">
        <v>853</v>
      </c>
    </row>
    <row r="136" spans="1:7" x14ac:dyDescent="0.3">
      <c r="A136" t="s">
        <v>854</v>
      </c>
      <c r="B136" t="s">
        <v>855</v>
      </c>
      <c r="C136" t="s">
        <v>856</v>
      </c>
      <c r="D136" t="s">
        <v>177</v>
      </c>
      <c r="E136" t="s">
        <v>857</v>
      </c>
      <c r="F136" t="s">
        <v>330</v>
      </c>
      <c r="G136" t="s">
        <v>858</v>
      </c>
    </row>
    <row r="137" spans="1:7" x14ac:dyDescent="0.3">
      <c r="A137" t="s">
        <v>859</v>
      </c>
      <c r="B137" t="s">
        <v>860</v>
      </c>
      <c r="C137" t="s">
        <v>861</v>
      </c>
      <c r="D137" t="s">
        <v>862</v>
      </c>
      <c r="E137" t="s">
        <v>863</v>
      </c>
      <c r="F137" t="s">
        <v>864</v>
      </c>
      <c r="G137" t="s">
        <v>865</v>
      </c>
    </row>
    <row r="138" spans="1:7" x14ac:dyDescent="0.3">
      <c r="A138" t="s">
        <v>866</v>
      </c>
      <c r="B138" t="s">
        <v>867</v>
      </c>
      <c r="C138" t="s">
        <v>868</v>
      </c>
      <c r="D138" t="s">
        <v>49</v>
      </c>
      <c r="E138" t="s">
        <v>869</v>
      </c>
      <c r="F138" t="s">
        <v>870</v>
      </c>
      <c r="G138" t="s">
        <v>871</v>
      </c>
    </row>
    <row r="139" spans="1:7" x14ac:dyDescent="0.3">
      <c r="A139" t="s">
        <v>872</v>
      </c>
      <c r="B139" t="s">
        <v>873</v>
      </c>
      <c r="C139" t="s">
        <v>874</v>
      </c>
      <c r="D139" t="s">
        <v>322</v>
      </c>
      <c r="E139" t="s">
        <v>875</v>
      </c>
      <c r="F139" t="s">
        <v>876</v>
      </c>
      <c r="G139" t="s">
        <v>877</v>
      </c>
    </row>
    <row r="140" spans="1:7" x14ac:dyDescent="0.3">
      <c r="A140" t="s">
        <v>878</v>
      </c>
      <c r="B140" t="s">
        <v>878</v>
      </c>
      <c r="C140" t="s">
        <v>879</v>
      </c>
      <c r="D140" t="s">
        <v>880</v>
      </c>
      <c r="E140" t="s">
        <v>881</v>
      </c>
      <c r="F140" t="s">
        <v>882</v>
      </c>
      <c r="G140" t="s">
        <v>883</v>
      </c>
    </row>
    <row r="141" spans="1:7" x14ac:dyDescent="0.3">
      <c r="A141" t="s">
        <v>884</v>
      </c>
      <c r="B141" t="s">
        <v>885</v>
      </c>
      <c r="C141" t="s">
        <v>886</v>
      </c>
      <c r="D141" t="s">
        <v>474</v>
      </c>
      <c r="E141" t="s">
        <v>887</v>
      </c>
      <c r="F141" t="s">
        <v>888</v>
      </c>
      <c r="G141" t="s">
        <v>889</v>
      </c>
    </row>
    <row r="142" spans="1:7" x14ac:dyDescent="0.3">
      <c r="A142" t="s">
        <v>890</v>
      </c>
      <c r="B142" t="s">
        <v>891</v>
      </c>
      <c r="C142" t="s">
        <v>892</v>
      </c>
      <c r="D142" t="s">
        <v>531</v>
      </c>
      <c r="E142" t="s">
        <v>893</v>
      </c>
      <c r="F142" t="s">
        <v>894</v>
      </c>
      <c r="G142" t="s">
        <v>895</v>
      </c>
    </row>
    <row r="143" spans="1:7" x14ac:dyDescent="0.3">
      <c r="A143" t="s">
        <v>896</v>
      </c>
      <c r="B143" t="s">
        <v>897</v>
      </c>
      <c r="C143" t="s">
        <v>898</v>
      </c>
      <c r="D143" t="s">
        <v>123</v>
      </c>
      <c r="E143" t="s">
        <v>899</v>
      </c>
      <c r="F143" t="s">
        <v>900</v>
      </c>
      <c r="G143" t="s">
        <v>901</v>
      </c>
    </row>
    <row r="144" spans="1:7" x14ac:dyDescent="0.3">
      <c r="A144" t="s">
        <v>902</v>
      </c>
      <c r="B144" t="s">
        <v>903</v>
      </c>
      <c r="C144" t="s">
        <v>904</v>
      </c>
      <c r="D144" t="s">
        <v>123</v>
      </c>
      <c r="E144" t="s">
        <v>905</v>
      </c>
      <c r="F144" t="s">
        <v>906</v>
      </c>
      <c r="G144" t="s">
        <v>907</v>
      </c>
    </row>
    <row r="145" spans="1:7" x14ac:dyDescent="0.3">
      <c r="A145" t="s">
        <v>908</v>
      </c>
      <c r="B145" t="s">
        <v>909</v>
      </c>
      <c r="C145" t="s">
        <v>910</v>
      </c>
      <c r="D145" t="s">
        <v>911</v>
      </c>
      <c r="E145" t="s">
        <v>912</v>
      </c>
      <c r="F145" t="s">
        <v>913</v>
      </c>
      <c r="G145" t="s">
        <v>914</v>
      </c>
    </row>
    <row r="146" spans="1:7" x14ac:dyDescent="0.3">
      <c r="A146" t="s">
        <v>915</v>
      </c>
      <c r="B146" t="s">
        <v>916</v>
      </c>
      <c r="C146" t="s">
        <v>917</v>
      </c>
      <c r="D146" t="s">
        <v>342</v>
      </c>
      <c r="E146" t="s">
        <v>918</v>
      </c>
      <c r="F146" t="s">
        <v>919</v>
      </c>
      <c r="G146" t="s">
        <v>920</v>
      </c>
    </row>
    <row r="147" spans="1:7" x14ac:dyDescent="0.3">
      <c r="A147" t="s">
        <v>921</v>
      </c>
      <c r="B147" t="s">
        <v>921</v>
      </c>
      <c r="C147" t="s">
        <v>922</v>
      </c>
      <c r="D147" t="s">
        <v>70</v>
      </c>
      <c r="E147" t="s">
        <v>923</v>
      </c>
      <c r="F147" t="s">
        <v>924</v>
      </c>
      <c r="G147" t="s">
        <v>925</v>
      </c>
    </row>
    <row r="148" spans="1:7" x14ac:dyDescent="0.3">
      <c r="A148" t="s">
        <v>926</v>
      </c>
      <c r="B148" t="s">
        <v>927</v>
      </c>
      <c r="C148" t="s">
        <v>928</v>
      </c>
      <c r="D148" t="s">
        <v>419</v>
      </c>
      <c r="E148" t="s">
        <v>929</v>
      </c>
      <c r="F148" t="s">
        <v>930</v>
      </c>
      <c r="G148" t="s">
        <v>931</v>
      </c>
    </row>
    <row r="149" spans="1:7" x14ac:dyDescent="0.3">
      <c r="A149" t="s">
        <v>932</v>
      </c>
      <c r="B149" t="s">
        <v>933</v>
      </c>
      <c r="C149" t="s">
        <v>934</v>
      </c>
      <c r="D149" t="s">
        <v>419</v>
      </c>
      <c r="E149" t="s">
        <v>935</v>
      </c>
      <c r="F149" t="s">
        <v>936</v>
      </c>
      <c r="G149" t="s">
        <v>937</v>
      </c>
    </row>
    <row r="150" spans="1:7" x14ac:dyDescent="0.3">
      <c r="A150" t="s">
        <v>938</v>
      </c>
      <c r="B150" t="s">
        <v>939</v>
      </c>
      <c r="C150" t="s">
        <v>940</v>
      </c>
      <c r="D150" t="s">
        <v>941</v>
      </c>
      <c r="E150" t="s">
        <v>942</v>
      </c>
      <c r="F150" t="s">
        <v>943</v>
      </c>
      <c r="G150" t="s">
        <v>944</v>
      </c>
    </row>
    <row r="151" spans="1:7" x14ac:dyDescent="0.3">
      <c r="A151" t="s">
        <v>945</v>
      </c>
      <c r="B151" t="s">
        <v>946</v>
      </c>
      <c r="C151" t="s">
        <v>947</v>
      </c>
      <c r="D151" t="s">
        <v>198</v>
      </c>
      <c r="E151" t="s">
        <v>948</v>
      </c>
      <c r="F151" t="s">
        <v>949</v>
      </c>
      <c r="G151" t="s">
        <v>950</v>
      </c>
    </row>
    <row r="152" spans="1:7" x14ac:dyDescent="0.3">
      <c r="A152" t="s">
        <v>951</v>
      </c>
      <c r="B152" t="s">
        <v>952</v>
      </c>
      <c r="C152" t="s">
        <v>953</v>
      </c>
      <c r="D152" t="s">
        <v>954</v>
      </c>
      <c r="E152" t="s">
        <v>955</v>
      </c>
      <c r="F152" t="s">
        <v>956</v>
      </c>
      <c r="G152" t="s">
        <v>957</v>
      </c>
    </row>
    <row r="153" spans="1:7" x14ac:dyDescent="0.3">
      <c r="A153" t="s">
        <v>958</v>
      </c>
      <c r="B153" t="s">
        <v>959</v>
      </c>
      <c r="C153" t="s">
        <v>960</v>
      </c>
      <c r="D153" t="s">
        <v>177</v>
      </c>
      <c r="E153" t="s">
        <v>961</v>
      </c>
      <c r="F153" t="s">
        <v>330</v>
      </c>
      <c r="G153" t="s">
        <v>962</v>
      </c>
    </row>
    <row r="154" spans="1:7" x14ac:dyDescent="0.3">
      <c r="A154" t="s">
        <v>963</v>
      </c>
      <c r="B154" t="s">
        <v>964</v>
      </c>
      <c r="C154" t="s">
        <v>965</v>
      </c>
      <c r="D154" t="s">
        <v>177</v>
      </c>
      <c r="E154" t="s">
        <v>966</v>
      </c>
      <c r="F154" t="s">
        <v>330</v>
      </c>
      <c r="G154" t="s">
        <v>967</v>
      </c>
    </row>
    <row r="155" spans="1:7" x14ac:dyDescent="0.3">
      <c r="A155" t="s">
        <v>968</v>
      </c>
      <c r="B155" t="s">
        <v>969</v>
      </c>
      <c r="C155" t="s">
        <v>970</v>
      </c>
      <c r="D155" t="s">
        <v>971</v>
      </c>
      <c r="E155" t="s">
        <v>972</v>
      </c>
      <c r="F155" t="s">
        <v>973</v>
      </c>
      <c r="G155" t="s">
        <v>974</v>
      </c>
    </row>
    <row r="156" spans="1:7" x14ac:dyDescent="0.3">
      <c r="A156" t="s">
        <v>975</v>
      </c>
      <c r="B156" t="s">
        <v>976</v>
      </c>
      <c r="C156" t="s">
        <v>977</v>
      </c>
      <c r="D156" t="s">
        <v>63</v>
      </c>
      <c r="E156" t="s">
        <v>978</v>
      </c>
      <c r="F156" t="s">
        <v>979</v>
      </c>
      <c r="G156" t="s">
        <v>980</v>
      </c>
    </row>
    <row r="157" spans="1:7" x14ac:dyDescent="0.3">
      <c r="A157" t="s">
        <v>981</v>
      </c>
      <c r="B157" t="s">
        <v>982</v>
      </c>
      <c r="C157" t="s">
        <v>983</v>
      </c>
      <c r="D157" t="s">
        <v>164</v>
      </c>
      <c r="E157" t="s">
        <v>984</v>
      </c>
      <c r="F157" t="s">
        <v>985</v>
      </c>
      <c r="G157" t="s">
        <v>986</v>
      </c>
    </row>
    <row r="158" spans="1:7" x14ac:dyDescent="0.3">
      <c r="A158" t="s">
        <v>987</v>
      </c>
      <c r="B158" t="s">
        <v>987</v>
      </c>
      <c r="C158" t="s">
        <v>988</v>
      </c>
      <c r="D158" t="s">
        <v>77</v>
      </c>
      <c r="E158" t="s">
        <v>989</v>
      </c>
      <c r="F158" t="s">
        <v>330</v>
      </c>
      <c r="G158" t="s">
        <v>990</v>
      </c>
    </row>
    <row r="159" spans="1:7" x14ac:dyDescent="0.3">
      <c r="A159" t="s">
        <v>991</v>
      </c>
      <c r="B159" t="s">
        <v>992</v>
      </c>
      <c r="C159" t="s">
        <v>993</v>
      </c>
      <c r="D159" t="s">
        <v>994</v>
      </c>
      <c r="E159" t="s">
        <v>995</v>
      </c>
      <c r="F159" t="s">
        <v>996</v>
      </c>
      <c r="G159" t="s">
        <v>997</v>
      </c>
    </row>
    <row r="160" spans="1:7" x14ac:dyDescent="0.3">
      <c r="A160" t="s">
        <v>998</v>
      </c>
      <c r="B160" t="s">
        <v>999</v>
      </c>
      <c r="C160" t="s">
        <v>1000</v>
      </c>
      <c r="D160" t="s">
        <v>198</v>
      </c>
      <c r="E160" t="s">
        <v>1001</v>
      </c>
      <c r="F160" t="s">
        <v>1002</v>
      </c>
      <c r="G160" t="s">
        <v>1003</v>
      </c>
    </row>
    <row r="161" spans="1:7" x14ac:dyDescent="0.3">
      <c r="A161" t="s">
        <v>1004</v>
      </c>
      <c r="B161" t="s">
        <v>1005</v>
      </c>
      <c r="C161" t="s">
        <v>1006</v>
      </c>
      <c r="D161" t="s">
        <v>1007</v>
      </c>
      <c r="E161" t="s">
        <v>1008</v>
      </c>
      <c r="F161" t="s">
        <v>1009</v>
      </c>
      <c r="G161" t="s">
        <v>1010</v>
      </c>
    </row>
    <row r="162" spans="1:7" x14ac:dyDescent="0.3">
      <c r="A162" t="s">
        <v>1011</v>
      </c>
      <c r="B162" t="s">
        <v>1012</v>
      </c>
      <c r="C162" t="s">
        <v>1013</v>
      </c>
      <c r="D162" t="s">
        <v>177</v>
      </c>
      <c r="E162" t="s">
        <v>1014</v>
      </c>
      <c r="F162" t="s">
        <v>330</v>
      </c>
      <c r="G162" t="s">
        <v>1003</v>
      </c>
    </row>
    <row r="163" spans="1:7" x14ac:dyDescent="0.3">
      <c r="A163" t="s">
        <v>1015</v>
      </c>
      <c r="B163" t="s">
        <v>1016</v>
      </c>
      <c r="C163" t="s">
        <v>1017</v>
      </c>
      <c r="D163" t="s">
        <v>1018</v>
      </c>
      <c r="E163" t="s">
        <v>1019</v>
      </c>
      <c r="F163" t="s">
        <v>1020</v>
      </c>
      <c r="G163" t="s">
        <v>1021</v>
      </c>
    </row>
    <row r="164" spans="1:7" x14ac:dyDescent="0.3">
      <c r="A164" t="s">
        <v>1022</v>
      </c>
      <c r="B164" t="s">
        <v>1023</v>
      </c>
      <c r="C164" t="s">
        <v>1024</v>
      </c>
      <c r="D164" t="s">
        <v>1025</v>
      </c>
      <c r="E164" t="s">
        <v>1026</v>
      </c>
      <c r="F164" t="s">
        <v>1027</v>
      </c>
      <c r="G164" t="s">
        <v>1028</v>
      </c>
    </row>
    <row r="165" spans="1:7" x14ac:dyDescent="0.3">
      <c r="A165" t="s">
        <v>1029</v>
      </c>
      <c r="B165" t="s">
        <v>1029</v>
      </c>
      <c r="C165" t="s">
        <v>1030</v>
      </c>
      <c r="D165" t="s">
        <v>1031</v>
      </c>
      <c r="E165" t="s">
        <v>1032</v>
      </c>
      <c r="F165" t="s">
        <v>1033</v>
      </c>
      <c r="G165" t="s">
        <v>1034</v>
      </c>
    </row>
    <row r="166" spans="1:7" x14ac:dyDescent="0.3">
      <c r="A166" t="s">
        <v>1035</v>
      </c>
      <c r="B166" t="s">
        <v>1036</v>
      </c>
      <c r="C166" t="s">
        <v>1037</v>
      </c>
      <c r="D166" t="s">
        <v>205</v>
      </c>
      <c r="E166" t="s">
        <v>1038</v>
      </c>
      <c r="F166" t="s">
        <v>1039</v>
      </c>
      <c r="G166" t="s">
        <v>1040</v>
      </c>
    </row>
    <row r="167" spans="1:7" x14ac:dyDescent="0.3">
      <c r="A167" t="s">
        <v>1041</v>
      </c>
      <c r="B167" t="s">
        <v>1042</v>
      </c>
      <c r="C167" t="s">
        <v>1043</v>
      </c>
      <c r="D167" t="s">
        <v>1044</v>
      </c>
      <c r="E167" t="s">
        <v>1045</v>
      </c>
      <c r="F167" t="s">
        <v>1046</v>
      </c>
      <c r="G167" t="s">
        <v>1047</v>
      </c>
    </row>
    <row r="168" spans="1:7" x14ac:dyDescent="0.3">
      <c r="A168" t="s">
        <v>1048</v>
      </c>
      <c r="B168" t="s">
        <v>1049</v>
      </c>
      <c r="C168" t="s">
        <v>1050</v>
      </c>
      <c r="D168" t="s">
        <v>198</v>
      </c>
      <c r="E168" t="s">
        <v>1051</v>
      </c>
      <c r="F168" t="s">
        <v>1052</v>
      </c>
      <c r="G168" t="s">
        <v>1053</v>
      </c>
    </row>
    <row r="169" spans="1:7" x14ac:dyDescent="0.3">
      <c r="A169" t="s">
        <v>1054</v>
      </c>
      <c r="B169" t="s">
        <v>1055</v>
      </c>
      <c r="C169" t="s">
        <v>1056</v>
      </c>
      <c r="D169" t="s">
        <v>1057</v>
      </c>
      <c r="E169" t="s">
        <v>1058</v>
      </c>
      <c r="F169" t="s">
        <v>1059</v>
      </c>
      <c r="G169" t="s">
        <v>1060</v>
      </c>
    </row>
    <row r="170" spans="1:7" x14ac:dyDescent="0.3">
      <c r="A170" t="s">
        <v>1061</v>
      </c>
      <c r="B170" t="s">
        <v>1062</v>
      </c>
      <c r="C170" t="s">
        <v>1063</v>
      </c>
      <c r="D170" t="s">
        <v>177</v>
      </c>
      <c r="E170" t="s">
        <v>1064</v>
      </c>
      <c r="F170" t="s">
        <v>1065</v>
      </c>
      <c r="G170" t="s">
        <v>1066</v>
      </c>
    </row>
    <row r="171" spans="1:7" x14ac:dyDescent="0.3">
      <c r="A171" t="s">
        <v>1067</v>
      </c>
      <c r="B171" t="s">
        <v>1068</v>
      </c>
      <c r="C171" t="s">
        <v>1069</v>
      </c>
      <c r="D171" t="s">
        <v>1070</v>
      </c>
      <c r="E171" t="s">
        <v>1071</v>
      </c>
      <c r="F171" t="s">
        <v>1072</v>
      </c>
      <c r="G171" t="s">
        <v>1073</v>
      </c>
    </row>
    <row r="172" spans="1:7" x14ac:dyDescent="0.3">
      <c r="A172" t="s">
        <v>1074</v>
      </c>
      <c r="B172" t="s">
        <v>1075</v>
      </c>
      <c r="C172" t="s">
        <v>1076</v>
      </c>
      <c r="D172" t="s">
        <v>1077</v>
      </c>
      <c r="E172" t="s">
        <v>1078</v>
      </c>
      <c r="F172" t="s">
        <v>1079</v>
      </c>
      <c r="G172" t="s">
        <v>1080</v>
      </c>
    </row>
    <row r="173" spans="1:7" x14ac:dyDescent="0.3">
      <c r="A173" t="s">
        <v>1081</v>
      </c>
      <c r="B173" t="s">
        <v>1082</v>
      </c>
      <c r="C173" t="s">
        <v>1083</v>
      </c>
      <c r="D173" t="s">
        <v>70</v>
      </c>
      <c r="E173" t="s">
        <v>1084</v>
      </c>
      <c r="F173" t="s">
        <v>1085</v>
      </c>
      <c r="G173" t="s">
        <v>1086</v>
      </c>
    </row>
    <row r="174" spans="1:7" x14ac:dyDescent="0.3">
      <c r="A174" t="s">
        <v>1087</v>
      </c>
      <c r="B174" t="s">
        <v>1088</v>
      </c>
      <c r="C174" t="s">
        <v>1089</v>
      </c>
      <c r="D174" t="s">
        <v>177</v>
      </c>
      <c r="E174" t="s">
        <v>1090</v>
      </c>
      <c r="F174" t="s">
        <v>330</v>
      </c>
      <c r="G174" t="s">
        <v>318</v>
      </c>
    </row>
    <row r="175" spans="1:7" x14ac:dyDescent="0.3">
      <c r="A175" t="s">
        <v>1091</v>
      </c>
      <c r="B175" t="s">
        <v>1092</v>
      </c>
      <c r="C175" t="s">
        <v>1093</v>
      </c>
      <c r="D175" t="s">
        <v>684</v>
      </c>
      <c r="E175" t="s">
        <v>1094</v>
      </c>
      <c r="F175" t="s">
        <v>1095</v>
      </c>
      <c r="G175" t="s">
        <v>1096</v>
      </c>
    </row>
    <row r="176" spans="1:7" x14ac:dyDescent="0.3">
      <c r="A176" t="s">
        <v>1097</v>
      </c>
      <c r="B176" t="s">
        <v>1098</v>
      </c>
      <c r="C176" t="s">
        <v>1099</v>
      </c>
      <c r="D176" t="s">
        <v>1100</v>
      </c>
      <c r="E176" t="s">
        <v>1101</v>
      </c>
      <c r="F176" t="s">
        <v>1102</v>
      </c>
      <c r="G176" t="s">
        <v>1103</v>
      </c>
    </row>
    <row r="177" spans="1:7" x14ac:dyDescent="0.3">
      <c r="A177" t="s">
        <v>1104</v>
      </c>
      <c r="B177" t="s">
        <v>1105</v>
      </c>
      <c r="C177" t="s">
        <v>1106</v>
      </c>
      <c r="D177" t="s">
        <v>518</v>
      </c>
      <c r="E177" t="s">
        <v>1107</v>
      </c>
      <c r="F177" t="s">
        <v>1108</v>
      </c>
      <c r="G177" t="s">
        <v>1109</v>
      </c>
    </row>
    <row r="178" spans="1:7" x14ac:dyDescent="0.3">
      <c r="A178" t="s">
        <v>1110</v>
      </c>
      <c r="B178" t="s">
        <v>1111</v>
      </c>
      <c r="C178" t="s">
        <v>1112</v>
      </c>
      <c r="D178" t="s">
        <v>130</v>
      </c>
      <c r="E178" t="s">
        <v>1113</v>
      </c>
      <c r="F178" t="s">
        <v>1114</v>
      </c>
      <c r="G178" t="s">
        <v>1115</v>
      </c>
    </row>
    <row r="179" spans="1:7" x14ac:dyDescent="0.3">
      <c r="A179" t="s">
        <v>1116</v>
      </c>
      <c r="B179" t="s">
        <v>1117</v>
      </c>
      <c r="C179" t="s">
        <v>1118</v>
      </c>
      <c r="D179" t="s">
        <v>1119</v>
      </c>
      <c r="E179" t="s">
        <v>1120</v>
      </c>
      <c r="F179" t="s">
        <v>1121</v>
      </c>
      <c r="G179" t="s">
        <v>1122</v>
      </c>
    </row>
    <row r="180" spans="1:7" x14ac:dyDescent="0.3">
      <c r="A180" t="s">
        <v>1123</v>
      </c>
      <c r="B180" t="s">
        <v>1124</v>
      </c>
      <c r="C180" t="s">
        <v>1125</v>
      </c>
      <c r="D180" t="s">
        <v>342</v>
      </c>
      <c r="E180" t="s">
        <v>1126</v>
      </c>
      <c r="F180" t="s">
        <v>1127</v>
      </c>
      <c r="G180" t="s">
        <v>1128</v>
      </c>
    </row>
    <row r="181" spans="1:7" x14ac:dyDescent="0.3">
      <c r="A181" t="s">
        <v>1129</v>
      </c>
      <c r="B181" t="s">
        <v>1130</v>
      </c>
      <c r="C181" t="s">
        <v>1131</v>
      </c>
      <c r="D181" t="s">
        <v>1132</v>
      </c>
      <c r="E181" t="s">
        <v>1133</v>
      </c>
      <c r="F181" t="s">
        <v>1134</v>
      </c>
      <c r="G181" t="s">
        <v>1135</v>
      </c>
    </row>
    <row r="182" spans="1:7" x14ac:dyDescent="0.3">
      <c r="A182" t="s">
        <v>1136</v>
      </c>
      <c r="B182" t="s">
        <v>1137</v>
      </c>
      <c r="C182" t="s">
        <v>1138</v>
      </c>
      <c r="D182" t="s">
        <v>387</v>
      </c>
      <c r="E182" t="s">
        <v>1139</v>
      </c>
      <c r="F182" t="s">
        <v>1140</v>
      </c>
      <c r="G182" t="s">
        <v>1141</v>
      </c>
    </row>
    <row r="183" spans="1:7" x14ac:dyDescent="0.3">
      <c r="A183" t="s">
        <v>1142</v>
      </c>
      <c r="B183" t="s">
        <v>1143</v>
      </c>
      <c r="C183" t="s">
        <v>1144</v>
      </c>
      <c r="D183" t="s">
        <v>290</v>
      </c>
      <c r="E183" t="s">
        <v>1145</v>
      </c>
      <c r="F183" t="s">
        <v>1146</v>
      </c>
      <c r="G183" t="s">
        <v>1147</v>
      </c>
    </row>
    <row r="184" spans="1:7" x14ac:dyDescent="0.3">
      <c r="A184" t="s">
        <v>1148</v>
      </c>
      <c r="B184" t="s">
        <v>1149</v>
      </c>
      <c r="C184" t="s">
        <v>1150</v>
      </c>
      <c r="D184" t="s">
        <v>191</v>
      </c>
      <c r="E184" t="s">
        <v>1151</v>
      </c>
      <c r="F184" t="s">
        <v>1152</v>
      </c>
      <c r="G184" t="s">
        <v>1153</v>
      </c>
    </row>
    <row r="185" spans="1:7" x14ac:dyDescent="0.3">
      <c r="A185" t="s">
        <v>1154</v>
      </c>
      <c r="B185" t="s">
        <v>1155</v>
      </c>
      <c r="C185" t="s">
        <v>1156</v>
      </c>
      <c r="D185" t="s">
        <v>130</v>
      </c>
      <c r="E185" t="s">
        <v>1157</v>
      </c>
      <c r="F185" t="s">
        <v>1158</v>
      </c>
      <c r="G185" t="s">
        <v>1159</v>
      </c>
    </row>
    <row r="186" spans="1:7" x14ac:dyDescent="0.3">
      <c r="A186" t="s">
        <v>1160</v>
      </c>
      <c r="B186" t="s">
        <v>1161</v>
      </c>
      <c r="C186" t="s">
        <v>1162</v>
      </c>
      <c r="D186" t="s">
        <v>177</v>
      </c>
      <c r="E186" t="s">
        <v>1163</v>
      </c>
      <c r="F186" t="s">
        <v>330</v>
      </c>
      <c r="G186" t="s">
        <v>1164</v>
      </c>
    </row>
    <row r="187" spans="1:7" x14ac:dyDescent="0.3">
      <c r="A187" t="s">
        <v>1165</v>
      </c>
      <c r="B187" t="s">
        <v>1166</v>
      </c>
      <c r="C187" t="s">
        <v>1167</v>
      </c>
      <c r="D187" t="s">
        <v>684</v>
      </c>
      <c r="E187" t="s">
        <v>1168</v>
      </c>
      <c r="F187" t="s">
        <v>1169</v>
      </c>
      <c r="G187" t="s">
        <v>1170</v>
      </c>
    </row>
    <row r="188" spans="1:7" x14ac:dyDescent="0.3">
      <c r="A188" t="s">
        <v>1171</v>
      </c>
      <c r="B188" t="s">
        <v>1172</v>
      </c>
      <c r="C188" t="s">
        <v>1173</v>
      </c>
      <c r="D188" t="s">
        <v>123</v>
      </c>
      <c r="E188" t="s">
        <v>1174</v>
      </c>
      <c r="F188" t="s">
        <v>1175</v>
      </c>
      <c r="G188" t="s">
        <v>1176</v>
      </c>
    </row>
    <row r="189" spans="1:7" x14ac:dyDescent="0.3">
      <c r="A189" t="s">
        <v>1177</v>
      </c>
      <c r="B189" t="s">
        <v>1178</v>
      </c>
      <c r="C189" t="s">
        <v>1179</v>
      </c>
      <c r="D189" t="s">
        <v>1180</v>
      </c>
      <c r="E189" t="s">
        <v>1181</v>
      </c>
      <c r="F189" t="s">
        <v>1182</v>
      </c>
      <c r="G189" t="s">
        <v>1183</v>
      </c>
    </row>
    <row r="190" spans="1:7" x14ac:dyDescent="0.3">
      <c r="A190" t="s">
        <v>1184</v>
      </c>
      <c r="B190" t="s">
        <v>1185</v>
      </c>
      <c r="C190" t="s">
        <v>1186</v>
      </c>
      <c r="D190" t="s">
        <v>1187</v>
      </c>
      <c r="E190" t="s">
        <v>1188</v>
      </c>
      <c r="F190" t="s">
        <v>1189</v>
      </c>
      <c r="G190" t="s">
        <v>1190</v>
      </c>
    </row>
    <row r="191" spans="1:7" x14ac:dyDescent="0.3">
      <c r="A191" t="s">
        <v>1191</v>
      </c>
      <c r="B191" t="s">
        <v>1192</v>
      </c>
      <c r="C191" t="s">
        <v>1193</v>
      </c>
      <c r="D191" t="s">
        <v>177</v>
      </c>
      <c r="E191" t="s">
        <v>1194</v>
      </c>
      <c r="F191" t="s">
        <v>330</v>
      </c>
      <c r="G191" t="s">
        <v>836</v>
      </c>
    </row>
    <row r="192" spans="1:7" x14ac:dyDescent="0.3">
      <c r="A192" t="s">
        <v>1195</v>
      </c>
      <c r="B192" t="s">
        <v>1196</v>
      </c>
      <c r="C192" t="s">
        <v>1197</v>
      </c>
      <c r="D192" t="s">
        <v>198</v>
      </c>
      <c r="E192" t="s">
        <v>1198</v>
      </c>
      <c r="F192" t="s">
        <v>1199</v>
      </c>
      <c r="G192" t="s">
        <v>1200</v>
      </c>
    </row>
    <row r="193" spans="1:7" x14ac:dyDescent="0.3">
      <c r="A193" t="s">
        <v>1201</v>
      </c>
      <c r="B193" t="s">
        <v>1202</v>
      </c>
      <c r="C193" t="s">
        <v>1203</v>
      </c>
      <c r="D193" t="s">
        <v>1204</v>
      </c>
      <c r="E193" t="s">
        <v>1205</v>
      </c>
      <c r="F193" t="s">
        <v>1206</v>
      </c>
      <c r="G193" t="s">
        <v>318</v>
      </c>
    </row>
    <row r="194" spans="1:7" x14ac:dyDescent="0.3">
      <c r="A194" t="s">
        <v>1207</v>
      </c>
      <c r="B194" t="s">
        <v>1208</v>
      </c>
      <c r="C194" t="s">
        <v>1209</v>
      </c>
      <c r="D194" t="s">
        <v>1070</v>
      </c>
      <c r="E194" t="s">
        <v>1210</v>
      </c>
      <c r="F194" t="s">
        <v>1211</v>
      </c>
      <c r="G194" t="s">
        <v>1212</v>
      </c>
    </row>
    <row r="195" spans="1:7" x14ac:dyDescent="0.3">
      <c r="A195" t="s">
        <v>1213</v>
      </c>
      <c r="B195" t="s">
        <v>1214</v>
      </c>
      <c r="C195" t="s">
        <v>1215</v>
      </c>
      <c r="D195" t="s">
        <v>387</v>
      </c>
      <c r="E195" t="s">
        <v>1216</v>
      </c>
      <c r="F195" t="s">
        <v>1217</v>
      </c>
      <c r="G195" t="s">
        <v>1218</v>
      </c>
    </row>
    <row r="196" spans="1:7" x14ac:dyDescent="0.3">
      <c r="A196" t="s">
        <v>1219</v>
      </c>
      <c r="B196" t="s">
        <v>1220</v>
      </c>
      <c r="C196" t="s">
        <v>1221</v>
      </c>
      <c r="D196" t="s">
        <v>290</v>
      </c>
      <c r="E196" t="s">
        <v>1222</v>
      </c>
      <c r="F196" t="s">
        <v>1223</v>
      </c>
      <c r="G196" t="s">
        <v>1224</v>
      </c>
    </row>
    <row r="197" spans="1:7" x14ac:dyDescent="0.3">
      <c r="A197" t="s">
        <v>1225</v>
      </c>
      <c r="B197" t="s">
        <v>1226</v>
      </c>
      <c r="C197" t="s">
        <v>1227</v>
      </c>
      <c r="D197" t="s">
        <v>1228</v>
      </c>
      <c r="E197" t="s">
        <v>1229</v>
      </c>
      <c r="F197" t="s">
        <v>1230</v>
      </c>
      <c r="G197" t="s">
        <v>113</v>
      </c>
    </row>
    <row r="198" spans="1:7" x14ac:dyDescent="0.3">
      <c r="A198" t="s">
        <v>1231</v>
      </c>
      <c r="B198" t="s">
        <v>1232</v>
      </c>
      <c r="C198" t="s">
        <v>1233</v>
      </c>
      <c r="D198" t="s">
        <v>157</v>
      </c>
      <c r="E198" t="s">
        <v>1234</v>
      </c>
      <c r="F198" t="s">
        <v>1235</v>
      </c>
      <c r="G198" t="s">
        <v>1236</v>
      </c>
    </row>
    <row r="199" spans="1:7" x14ac:dyDescent="0.3">
      <c r="A199" t="s">
        <v>1237</v>
      </c>
      <c r="B199" t="s">
        <v>1238</v>
      </c>
      <c r="C199" t="s">
        <v>1239</v>
      </c>
      <c r="D199" t="s">
        <v>177</v>
      </c>
      <c r="E199" t="s">
        <v>1240</v>
      </c>
      <c r="F199" t="s">
        <v>1241</v>
      </c>
      <c r="G199" t="s">
        <v>1242</v>
      </c>
    </row>
    <row r="200" spans="1:7" x14ac:dyDescent="0.3">
      <c r="A200" t="s">
        <v>1243</v>
      </c>
      <c r="B200" t="s">
        <v>1243</v>
      </c>
      <c r="C200" t="s">
        <v>1244</v>
      </c>
      <c r="D200" t="s">
        <v>1245</v>
      </c>
      <c r="E200" t="s">
        <v>1246</v>
      </c>
      <c r="F200" t="s">
        <v>1247</v>
      </c>
      <c r="G200" t="s">
        <v>1248</v>
      </c>
    </row>
    <row r="201" spans="1:7" x14ac:dyDescent="0.3">
      <c r="A201" t="s">
        <v>1249</v>
      </c>
      <c r="B201" t="s">
        <v>1250</v>
      </c>
      <c r="C201" t="s">
        <v>1251</v>
      </c>
      <c r="D201" t="s">
        <v>177</v>
      </c>
      <c r="E201" t="s">
        <v>1252</v>
      </c>
      <c r="F201" t="s">
        <v>330</v>
      </c>
      <c r="G201" t="s">
        <v>594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9F599-C343-43E4-8C8C-2BE27A86963D}">
  <dimension ref="A1:B9"/>
  <sheetViews>
    <sheetView workbookViewId="0">
      <selection activeCell="N15" sqref="N15"/>
    </sheetView>
  </sheetViews>
  <sheetFormatPr defaultRowHeight="14.4" x14ac:dyDescent="0.3"/>
  <cols>
    <col min="1" max="1" width="18.5546875" bestFit="1" customWidth="1"/>
    <col min="2" max="2" width="21.44140625" bestFit="1" customWidth="1"/>
  </cols>
  <sheetData>
    <row r="1" spans="1:2" x14ac:dyDescent="0.3">
      <c r="A1" s="2" t="s">
        <v>1266</v>
      </c>
      <c r="B1" t="s" vm="1">
        <v>1267</v>
      </c>
    </row>
    <row r="3" spans="1:2" x14ac:dyDescent="0.3">
      <c r="A3" s="2" t="s">
        <v>1254</v>
      </c>
      <c r="B3" t="s">
        <v>1268</v>
      </c>
    </row>
    <row r="4" spans="1:2" x14ac:dyDescent="0.3">
      <c r="A4" s="3" t="s">
        <v>219</v>
      </c>
      <c r="B4">
        <v>2</v>
      </c>
    </row>
    <row r="5" spans="1:2" x14ac:dyDescent="0.3">
      <c r="A5" s="3" t="s">
        <v>88</v>
      </c>
      <c r="B5">
        <v>1</v>
      </c>
    </row>
    <row r="6" spans="1:2" x14ac:dyDescent="0.3">
      <c r="A6" s="3" t="s">
        <v>1213</v>
      </c>
      <c r="B6">
        <v>1</v>
      </c>
    </row>
    <row r="7" spans="1:2" x14ac:dyDescent="0.3">
      <c r="A7" s="3" t="s">
        <v>902</v>
      </c>
      <c r="B7">
        <v>1</v>
      </c>
    </row>
    <row r="8" spans="1:2" x14ac:dyDescent="0.3">
      <c r="A8" s="3" t="s">
        <v>478</v>
      </c>
      <c r="B8">
        <v>1</v>
      </c>
    </row>
    <row r="9" spans="1:2" x14ac:dyDescent="0.3">
      <c r="A9" s="3" t="s">
        <v>1255</v>
      </c>
      <c r="B9">
        <v>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13C77-384B-4785-BCA1-17B9D501FCA5}">
  <dimension ref="A1:B20"/>
  <sheetViews>
    <sheetView workbookViewId="0">
      <selection activeCell="L20" sqref="L20"/>
    </sheetView>
  </sheetViews>
  <sheetFormatPr defaultRowHeight="14.4" x14ac:dyDescent="0.3"/>
  <cols>
    <col min="1" max="1" width="14" bestFit="1" customWidth="1"/>
    <col min="2" max="2" width="17.6640625" bestFit="1" customWidth="1"/>
  </cols>
  <sheetData>
    <row r="1" spans="1:2" x14ac:dyDescent="0.3">
      <c r="A1" s="2" t="s">
        <v>1272</v>
      </c>
      <c r="B1" t="s">
        <v>1274</v>
      </c>
    </row>
    <row r="3" spans="1:2" x14ac:dyDescent="0.3">
      <c r="A3" s="2" t="s">
        <v>1254</v>
      </c>
      <c r="B3" t="s">
        <v>1273</v>
      </c>
    </row>
    <row r="4" spans="1:2" x14ac:dyDescent="0.3">
      <c r="A4" s="3" t="s">
        <v>638</v>
      </c>
      <c r="B4">
        <v>8.3830845771142748E-2</v>
      </c>
    </row>
    <row r="5" spans="1:2" x14ac:dyDescent="0.3">
      <c r="A5" s="16" t="s">
        <v>639</v>
      </c>
      <c r="B5">
        <v>8.3830845771142748E-2</v>
      </c>
    </row>
    <row r="6" spans="1:2" x14ac:dyDescent="0.3">
      <c r="A6" s="3" t="s">
        <v>7</v>
      </c>
      <c r="B6">
        <v>759.13226460070291</v>
      </c>
    </row>
    <row r="7" spans="1:2" x14ac:dyDescent="0.3">
      <c r="A7" s="16" t="s">
        <v>8</v>
      </c>
      <c r="B7">
        <v>759.13226460070291</v>
      </c>
    </row>
    <row r="8" spans="1:2" x14ac:dyDescent="0.3">
      <c r="A8" s="3" t="s">
        <v>34</v>
      </c>
      <c r="B8">
        <v>2.0708140462888878</v>
      </c>
    </row>
    <row r="9" spans="1:2" x14ac:dyDescent="0.3">
      <c r="A9" s="16" t="s">
        <v>34</v>
      </c>
      <c r="B9">
        <v>2.0708140462888878</v>
      </c>
    </row>
    <row r="10" spans="1:2" x14ac:dyDescent="0.3">
      <c r="A10" s="3" t="s">
        <v>378</v>
      </c>
      <c r="B10">
        <v>2.1207464324916714E-2</v>
      </c>
    </row>
    <row r="11" spans="1:2" x14ac:dyDescent="0.3">
      <c r="A11" s="16" t="s">
        <v>379</v>
      </c>
      <c r="B11">
        <v>2.1207464324916714E-2</v>
      </c>
    </row>
    <row r="12" spans="1:2" x14ac:dyDescent="0.3">
      <c r="A12" s="3" t="s">
        <v>14</v>
      </c>
      <c r="B12">
        <v>19.830993726974157</v>
      </c>
    </row>
    <row r="13" spans="1:2" x14ac:dyDescent="0.3">
      <c r="A13" s="16" t="s">
        <v>15</v>
      </c>
      <c r="B13">
        <v>19.830993726974157</v>
      </c>
    </row>
    <row r="14" spans="1:2" x14ac:dyDescent="0.3">
      <c r="A14" s="3" t="s">
        <v>40</v>
      </c>
      <c r="B14">
        <v>1.6173506648144667</v>
      </c>
    </row>
    <row r="15" spans="1:2" x14ac:dyDescent="0.3">
      <c r="A15" s="16" t="s">
        <v>41</v>
      </c>
      <c r="B15">
        <v>1.6173506648144667</v>
      </c>
    </row>
    <row r="16" spans="1:2" x14ac:dyDescent="0.3">
      <c r="A16" s="3" t="s">
        <v>365</v>
      </c>
      <c r="B16">
        <v>2.8228252194733017E-2</v>
      </c>
    </row>
    <row r="17" spans="1:2" x14ac:dyDescent="0.3">
      <c r="A17" s="16" t="s">
        <v>366</v>
      </c>
      <c r="B17">
        <v>2.8228252194733017E-2</v>
      </c>
    </row>
    <row r="18" spans="1:2" x14ac:dyDescent="0.3">
      <c r="A18" s="3" t="s">
        <v>81</v>
      </c>
      <c r="B18">
        <v>0.33690476190476204</v>
      </c>
    </row>
    <row r="19" spans="1:2" x14ac:dyDescent="0.3">
      <c r="A19" s="16" t="s">
        <v>82</v>
      </c>
      <c r="B19">
        <v>0.33690476190476204</v>
      </c>
    </row>
    <row r="20" spans="1:2" x14ac:dyDescent="0.3">
      <c r="A20" s="3" t="s">
        <v>1255</v>
      </c>
      <c r="B20">
        <v>783.12159436297588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0FE2C-F89B-495E-B3FC-837E8B10DC3E}">
  <dimension ref="A1:D24"/>
  <sheetViews>
    <sheetView workbookViewId="0">
      <selection activeCell="I26" sqref="I26"/>
    </sheetView>
  </sheetViews>
  <sheetFormatPr defaultRowHeight="14.4" x14ac:dyDescent="0.3"/>
  <cols>
    <col min="1" max="1" width="20.77734375" bestFit="1" customWidth="1"/>
    <col min="2" max="2" width="15.21875" bestFit="1" customWidth="1"/>
    <col min="3" max="3" width="14.33203125" bestFit="1" customWidth="1"/>
    <col min="4" max="4" width="18.88671875" bestFit="1" customWidth="1"/>
  </cols>
  <sheetData>
    <row r="1" spans="1:4" x14ac:dyDescent="0.3">
      <c r="A1" s="2" t="s">
        <v>1266</v>
      </c>
      <c r="B1" t="s">
        <v>1277</v>
      </c>
    </row>
    <row r="3" spans="1:4" x14ac:dyDescent="0.3">
      <c r="A3" s="2" t="s">
        <v>1254</v>
      </c>
      <c r="B3" t="s">
        <v>1278</v>
      </c>
      <c r="C3" t="s">
        <v>1279</v>
      </c>
      <c r="D3" t="s">
        <v>1281</v>
      </c>
    </row>
    <row r="4" spans="1:4" x14ac:dyDescent="0.3">
      <c r="A4" s="3" t="s">
        <v>276</v>
      </c>
      <c r="B4">
        <v>1.6216216216216217</v>
      </c>
      <c r="C4">
        <v>1.6216199999999998</v>
      </c>
      <c r="D4">
        <v>1E-3</v>
      </c>
    </row>
    <row r="5" spans="1:4" x14ac:dyDescent="0.3">
      <c r="A5" s="16" t="s">
        <v>277</v>
      </c>
      <c r="B5">
        <v>1.6216216216216217</v>
      </c>
      <c r="C5">
        <v>1.6216199999999998</v>
      </c>
      <c r="D5">
        <v>1E-3</v>
      </c>
    </row>
    <row r="6" spans="1:4" x14ac:dyDescent="0.3">
      <c r="A6" s="3" t="s">
        <v>288</v>
      </c>
      <c r="B6">
        <v>2.8837488735355961</v>
      </c>
      <c r="C6">
        <v>2.8837440000000001</v>
      </c>
      <c r="D6">
        <v>1.2999999999999999E-3</v>
      </c>
    </row>
    <row r="7" spans="1:4" x14ac:dyDescent="0.3">
      <c r="A7" s="16" t="s">
        <v>288</v>
      </c>
      <c r="B7">
        <v>2.8837488735355961</v>
      </c>
      <c r="C7">
        <v>2.8837440000000001</v>
      </c>
      <c r="D7">
        <v>1.2999999999999999E-3</v>
      </c>
    </row>
    <row r="8" spans="1:4" x14ac:dyDescent="0.3">
      <c r="A8" s="3" t="s">
        <v>777</v>
      </c>
      <c r="B8">
        <v>3.3830447402662394</v>
      </c>
      <c r="C8">
        <v>3.3830419999999997</v>
      </c>
      <c r="D8">
        <v>8.9999999999999998E-4</v>
      </c>
    </row>
    <row r="9" spans="1:4" x14ac:dyDescent="0.3">
      <c r="A9" s="16" t="s">
        <v>778</v>
      </c>
      <c r="B9">
        <v>3.3830447402662394</v>
      </c>
      <c r="C9">
        <v>3.3830419999999997</v>
      </c>
      <c r="D9">
        <v>8.9999999999999998E-4</v>
      </c>
    </row>
    <row r="10" spans="1:4" x14ac:dyDescent="0.3">
      <c r="A10" s="3" t="s">
        <v>141</v>
      </c>
      <c r="B10">
        <v>4.5418167266906764</v>
      </c>
      <c r="C10">
        <v>4.5418159999999999</v>
      </c>
      <c r="D10">
        <v>4.0000000000000002E-4</v>
      </c>
    </row>
    <row r="11" spans="1:4" x14ac:dyDescent="0.3">
      <c r="A11" s="16" t="s">
        <v>142</v>
      </c>
      <c r="B11">
        <v>4.5418167266906764</v>
      </c>
      <c r="C11">
        <v>4.5418159999999999</v>
      </c>
      <c r="D11">
        <v>4.0000000000000002E-4</v>
      </c>
    </row>
    <row r="12" spans="1:4" x14ac:dyDescent="0.3">
      <c r="A12" s="3" t="s">
        <v>391</v>
      </c>
      <c r="B12">
        <v>2.1767479185474969</v>
      </c>
      <c r="C12">
        <v>2.1767270000000001</v>
      </c>
      <c r="D12">
        <v>3.0999999999999999E-3</v>
      </c>
    </row>
    <row r="13" spans="1:4" x14ac:dyDescent="0.3">
      <c r="A13" s="16" t="s">
        <v>392</v>
      </c>
      <c r="B13">
        <v>2.1767479185474969</v>
      </c>
      <c r="C13">
        <v>2.1767270000000001</v>
      </c>
      <c r="D13">
        <v>3.0999999999999999E-3</v>
      </c>
    </row>
    <row r="14" spans="1:4" x14ac:dyDescent="0.3">
      <c r="A14" s="3" t="s">
        <v>1097</v>
      </c>
      <c r="B14">
        <v>2.6743949562741505</v>
      </c>
      <c r="C14">
        <v>2.6736579999999996</v>
      </c>
      <c r="D14">
        <v>1.66E-2</v>
      </c>
    </row>
    <row r="15" spans="1:4" x14ac:dyDescent="0.3">
      <c r="A15" s="16" t="s">
        <v>1098</v>
      </c>
      <c r="B15">
        <v>2.6743949562741505</v>
      </c>
      <c r="C15">
        <v>2.6736579999999996</v>
      </c>
      <c r="D15">
        <v>1.66E-2</v>
      </c>
    </row>
    <row r="16" spans="1:4" x14ac:dyDescent="0.3">
      <c r="A16" s="3" t="s">
        <v>859</v>
      </c>
      <c r="B16">
        <v>1.4204837879567678</v>
      </c>
      <c r="C16">
        <v>1.4193299999999998</v>
      </c>
      <c r="D16">
        <v>2.8500000000000001E-2</v>
      </c>
    </row>
    <row r="17" spans="1:4" x14ac:dyDescent="0.3">
      <c r="A17" s="16" t="s">
        <v>860</v>
      </c>
      <c r="B17">
        <v>1.4204837879567678</v>
      </c>
      <c r="C17">
        <v>1.4193299999999998</v>
      </c>
      <c r="D17">
        <v>2.8500000000000001E-2</v>
      </c>
    </row>
    <row r="18" spans="1:4" x14ac:dyDescent="0.3">
      <c r="A18" s="3" t="s">
        <v>262</v>
      </c>
      <c r="B18">
        <v>4.2480713355375217</v>
      </c>
      <c r="C18">
        <v>4.2480560000000001</v>
      </c>
      <c r="D18">
        <v>1.9E-3</v>
      </c>
    </row>
    <row r="19" spans="1:4" x14ac:dyDescent="0.3">
      <c r="A19" s="16" t="s">
        <v>263</v>
      </c>
      <c r="B19">
        <v>4.2480713355375217</v>
      </c>
      <c r="C19">
        <v>4.2480560000000001</v>
      </c>
      <c r="D19">
        <v>1.9E-3</v>
      </c>
    </row>
    <row r="20" spans="1:4" x14ac:dyDescent="0.3">
      <c r="A20" s="3" t="s">
        <v>21</v>
      </c>
      <c r="B20">
        <v>3.0336514314414864</v>
      </c>
      <c r="C20">
        <v>3.0335899999999998</v>
      </c>
      <c r="D20">
        <v>4.4999999999999997E-3</v>
      </c>
    </row>
    <row r="21" spans="1:4" x14ac:dyDescent="0.3">
      <c r="A21" s="16" t="s">
        <v>21</v>
      </c>
      <c r="B21">
        <v>3.0336514314414864</v>
      </c>
      <c r="C21">
        <v>3.0335899999999998</v>
      </c>
      <c r="D21">
        <v>4.4999999999999997E-3</v>
      </c>
    </row>
    <row r="22" spans="1:4" x14ac:dyDescent="0.3">
      <c r="A22" s="3" t="s">
        <v>202</v>
      </c>
      <c r="B22">
        <v>1.9431089743589745</v>
      </c>
      <c r="C22">
        <v>1.9431039999999999</v>
      </c>
      <c r="D22">
        <v>1.6000000000000001E-3</v>
      </c>
    </row>
    <row r="23" spans="1:4" x14ac:dyDescent="0.3">
      <c r="A23" s="16" t="s">
        <v>203</v>
      </c>
      <c r="B23">
        <v>1.9431089743589745</v>
      </c>
      <c r="C23">
        <v>1.9431039999999999</v>
      </c>
      <c r="D23">
        <v>1.6000000000000001E-3</v>
      </c>
    </row>
    <row r="24" spans="1:4" x14ac:dyDescent="0.3">
      <c r="A24" s="3" t="s">
        <v>1255</v>
      </c>
      <c r="B24">
        <v>27.926690366230531</v>
      </c>
      <c r="C24">
        <v>27.924686999999999</v>
      </c>
      <c r="D24">
        <v>5.9799999999999992E-2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2F5E4-5EED-40C9-B34E-E47FC4977D39}">
  <dimension ref="A1:D204"/>
  <sheetViews>
    <sheetView topLeftCell="A186" workbookViewId="0">
      <selection activeCell="F205" sqref="F205"/>
    </sheetView>
  </sheetViews>
  <sheetFormatPr defaultRowHeight="14.4" x14ac:dyDescent="0.3"/>
  <cols>
    <col min="1" max="1" width="34.44140625" bestFit="1" customWidth="1"/>
    <col min="2" max="2" width="11.33203125" bestFit="1" customWidth="1"/>
    <col min="3" max="3" width="26.21875" style="17" bestFit="1" customWidth="1"/>
    <col min="4" max="4" width="17.44140625" bestFit="1" customWidth="1"/>
  </cols>
  <sheetData>
    <row r="1" spans="1:4" x14ac:dyDescent="0.3">
      <c r="A1" s="2" t="s">
        <v>1282</v>
      </c>
      <c r="B1" t="s">
        <v>1277</v>
      </c>
    </row>
    <row r="3" spans="1:4" x14ac:dyDescent="0.3">
      <c r="A3" s="2" t="s">
        <v>0</v>
      </c>
      <c r="B3" s="2" t="s">
        <v>1</v>
      </c>
      <c r="C3" t="s">
        <v>1284</v>
      </c>
      <c r="D3" t="s">
        <v>1285</v>
      </c>
    </row>
    <row r="4" spans="1:4" x14ac:dyDescent="0.3">
      <c r="A4" t="s">
        <v>614</v>
      </c>
      <c r="C4" s="17">
        <v>0</v>
      </c>
      <c r="D4" s="17">
        <v>1</v>
      </c>
    </row>
    <row r="5" spans="1:4" x14ac:dyDescent="0.3">
      <c r="A5" t="s">
        <v>833</v>
      </c>
      <c r="B5" t="s">
        <v>833</v>
      </c>
      <c r="C5" s="17">
        <v>0</v>
      </c>
      <c r="D5" s="17">
        <v>1</v>
      </c>
    </row>
    <row r="6" spans="1:4" x14ac:dyDescent="0.3">
      <c r="A6" t="s">
        <v>326</v>
      </c>
      <c r="B6" t="s">
        <v>327</v>
      </c>
      <c r="C6" s="17">
        <v>0</v>
      </c>
      <c r="D6" s="17">
        <v>1</v>
      </c>
    </row>
    <row r="7" spans="1:4" x14ac:dyDescent="0.3">
      <c r="A7" t="s">
        <v>854</v>
      </c>
      <c r="B7" t="s">
        <v>855</v>
      </c>
      <c r="C7" s="17">
        <v>0</v>
      </c>
      <c r="D7" s="17">
        <v>1</v>
      </c>
    </row>
    <row r="8" spans="1:4" x14ac:dyDescent="0.3">
      <c r="A8" t="s">
        <v>1191</v>
      </c>
      <c r="B8" t="s">
        <v>1192</v>
      </c>
      <c r="C8" s="17">
        <v>0</v>
      </c>
      <c r="D8" s="17">
        <v>1</v>
      </c>
    </row>
    <row r="9" spans="1:4" x14ac:dyDescent="0.3">
      <c r="A9" t="s">
        <v>174</v>
      </c>
      <c r="B9" t="s">
        <v>175</v>
      </c>
      <c r="C9" s="17">
        <v>0</v>
      </c>
      <c r="D9" s="17">
        <v>1</v>
      </c>
    </row>
    <row r="10" spans="1:4" x14ac:dyDescent="0.3">
      <c r="A10" t="s">
        <v>1011</v>
      </c>
      <c r="B10" t="s">
        <v>1012</v>
      </c>
      <c r="C10" s="17">
        <v>0</v>
      </c>
      <c r="D10" s="17">
        <v>1</v>
      </c>
    </row>
    <row r="11" spans="1:4" x14ac:dyDescent="0.3">
      <c r="A11" t="s">
        <v>559</v>
      </c>
      <c r="B11" t="s">
        <v>560</v>
      </c>
      <c r="C11" s="17">
        <v>0</v>
      </c>
      <c r="D11" s="17">
        <v>1</v>
      </c>
    </row>
    <row r="12" spans="1:4" x14ac:dyDescent="0.3">
      <c r="A12" t="s">
        <v>958</v>
      </c>
      <c r="B12" t="s">
        <v>959</v>
      </c>
      <c r="C12" s="17">
        <v>0</v>
      </c>
      <c r="D12" s="17">
        <v>1</v>
      </c>
    </row>
    <row r="13" spans="1:4" x14ac:dyDescent="0.3">
      <c r="A13" t="s">
        <v>1160</v>
      </c>
      <c r="B13" t="s">
        <v>1161</v>
      </c>
      <c r="C13" s="17">
        <v>0</v>
      </c>
      <c r="D13" s="17">
        <v>1</v>
      </c>
    </row>
    <row r="14" spans="1:4" x14ac:dyDescent="0.3">
      <c r="A14" t="s">
        <v>1237</v>
      </c>
      <c r="B14" t="s">
        <v>1238</v>
      </c>
      <c r="C14" s="17">
        <v>0</v>
      </c>
      <c r="D14" s="17">
        <v>1</v>
      </c>
    </row>
    <row r="15" spans="1:4" x14ac:dyDescent="0.3">
      <c r="A15" t="s">
        <v>1061</v>
      </c>
      <c r="B15" t="s">
        <v>1062</v>
      </c>
      <c r="C15" s="17">
        <v>0</v>
      </c>
      <c r="D15" s="17">
        <v>1</v>
      </c>
    </row>
    <row r="16" spans="1:4" x14ac:dyDescent="0.3">
      <c r="A16" t="s">
        <v>963</v>
      </c>
      <c r="B16" t="s">
        <v>964</v>
      </c>
      <c r="C16" s="17">
        <v>0</v>
      </c>
      <c r="D16" s="17">
        <v>1</v>
      </c>
    </row>
    <row r="17" spans="1:4" x14ac:dyDescent="0.3">
      <c r="A17" t="s">
        <v>669</v>
      </c>
      <c r="B17" t="s">
        <v>670</v>
      </c>
      <c r="C17" s="17">
        <v>0</v>
      </c>
      <c r="D17" s="17">
        <v>1</v>
      </c>
    </row>
    <row r="18" spans="1:4" x14ac:dyDescent="0.3">
      <c r="A18" t="s">
        <v>214</v>
      </c>
      <c r="B18" t="s">
        <v>215</v>
      </c>
      <c r="C18" s="17">
        <v>0</v>
      </c>
      <c r="D18" s="17">
        <v>1</v>
      </c>
    </row>
    <row r="19" spans="1:4" x14ac:dyDescent="0.3">
      <c r="A19" t="s">
        <v>1</v>
      </c>
      <c r="B19" t="s">
        <v>405</v>
      </c>
      <c r="C19" s="17">
        <v>0</v>
      </c>
      <c r="D19" s="17">
        <v>1</v>
      </c>
    </row>
    <row r="20" spans="1:4" x14ac:dyDescent="0.3">
      <c r="A20" t="s">
        <v>589</v>
      </c>
      <c r="B20" t="s">
        <v>590</v>
      </c>
      <c r="C20" s="17">
        <v>0</v>
      </c>
      <c r="D20" s="17">
        <v>1</v>
      </c>
    </row>
    <row r="21" spans="1:4" x14ac:dyDescent="0.3">
      <c r="A21" t="s">
        <v>1087</v>
      </c>
      <c r="B21" t="s">
        <v>1088</v>
      </c>
      <c r="C21" s="17">
        <v>0</v>
      </c>
      <c r="D21" s="17">
        <v>1</v>
      </c>
    </row>
    <row r="22" spans="1:4" x14ac:dyDescent="0.3">
      <c r="A22" t="s">
        <v>1249</v>
      </c>
      <c r="B22" t="s">
        <v>1250</v>
      </c>
      <c r="C22" s="17">
        <v>0</v>
      </c>
      <c r="D22" s="17">
        <v>1</v>
      </c>
    </row>
    <row r="23" spans="1:4" x14ac:dyDescent="0.3">
      <c r="A23" t="s">
        <v>282</v>
      </c>
      <c r="B23" t="s">
        <v>283</v>
      </c>
      <c r="C23" s="17">
        <v>0</v>
      </c>
      <c r="D23" s="17">
        <v>1</v>
      </c>
    </row>
    <row r="24" spans="1:4" x14ac:dyDescent="0.3">
      <c r="A24" t="s">
        <v>987</v>
      </c>
      <c r="B24" t="s">
        <v>987</v>
      </c>
      <c r="C24" s="17">
        <v>1E-4</v>
      </c>
      <c r="D24" s="17">
        <v>1</v>
      </c>
    </row>
    <row r="25" spans="1:4" x14ac:dyDescent="0.3">
      <c r="A25" t="s">
        <v>74</v>
      </c>
      <c r="B25" t="s">
        <v>75</v>
      </c>
      <c r="C25" s="17">
        <v>1E-4</v>
      </c>
      <c r="D25" s="17">
        <v>1</v>
      </c>
    </row>
    <row r="26" spans="1:4" x14ac:dyDescent="0.3">
      <c r="A26" t="s">
        <v>441</v>
      </c>
      <c r="B26" t="s">
        <v>442</v>
      </c>
      <c r="C26" s="17">
        <v>1E-4</v>
      </c>
      <c r="D26" s="17">
        <v>1</v>
      </c>
    </row>
    <row r="27" spans="1:4" x14ac:dyDescent="0.3">
      <c r="A27" t="s">
        <v>238</v>
      </c>
      <c r="B27" t="s">
        <v>238</v>
      </c>
      <c r="C27" s="17">
        <v>1E-4</v>
      </c>
      <c r="D27" s="17">
        <v>1</v>
      </c>
    </row>
    <row r="28" spans="1:4" x14ac:dyDescent="0.3">
      <c r="A28" t="s">
        <v>675</v>
      </c>
      <c r="B28" t="s">
        <v>676</v>
      </c>
      <c r="C28" s="17">
        <v>1E-4</v>
      </c>
      <c r="D28" s="17">
        <v>1</v>
      </c>
    </row>
    <row r="29" spans="1:4" x14ac:dyDescent="0.3">
      <c r="A29" t="s">
        <v>504</v>
      </c>
      <c r="B29" t="s">
        <v>505</v>
      </c>
      <c r="C29" s="17">
        <v>2.0000000000000001E-4</v>
      </c>
      <c r="D29" s="17">
        <v>1</v>
      </c>
    </row>
    <row r="30" spans="1:4" x14ac:dyDescent="0.3">
      <c r="A30" t="s">
        <v>848</v>
      </c>
      <c r="B30" t="s">
        <v>849</v>
      </c>
      <c r="C30" s="17">
        <v>2.0000000000000001E-4</v>
      </c>
      <c r="D30" s="17">
        <v>1</v>
      </c>
    </row>
    <row r="31" spans="1:4" x14ac:dyDescent="0.3">
      <c r="A31" t="s">
        <v>155</v>
      </c>
      <c r="B31" t="s">
        <v>156</v>
      </c>
      <c r="C31" s="17">
        <v>2.0000000000000001E-4</v>
      </c>
      <c r="D31" s="17">
        <v>1</v>
      </c>
    </row>
    <row r="32" spans="1:4" x14ac:dyDescent="0.3">
      <c r="A32" t="s">
        <v>294</v>
      </c>
      <c r="B32" t="s">
        <v>295</v>
      </c>
      <c r="C32" s="17">
        <v>2.0000000000000001E-4</v>
      </c>
      <c r="D32" s="17">
        <v>1</v>
      </c>
    </row>
    <row r="33" spans="1:4" x14ac:dyDescent="0.3">
      <c r="A33" t="s">
        <v>1231</v>
      </c>
      <c r="B33" t="s">
        <v>1232</v>
      </c>
      <c r="C33" s="17">
        <v>2.0000000000000001E-4</v>
      </c>
      <c r="D33" s="17">
        <v>1</v>
      </c>
    </row>
    <row r="34" spans="1:4" x14ac:dyDescent="0.3">
      <c r="A34" t="s">
        <v>837</v>
      </c>
      <c r="B34" t="s">
        <v>838</v>
      </c>
      <c r="C34" s="17">
        <v>2.0000000000000001E-4</v>
      </c>
      <c r="D34" s="17">
        <v>1</v>
      </c>
    </row>
    <row r="35" spans="1:4" x14ac:dyDescent="0.3">
      <c r="A35" t="s">
        <v>459</v>
      </c>
      <c r="B35" t="s">
        <v>460</v>
      </c>
      <c r="C35" s="17">
        <v>2.9999999999999997E-4</v>
      </c>
      <c r="D35" s="17">
        <v>1</v>
      </c>
    </row>
    <row r="36" spans="1:4" x14ac:dyDescent="0.3">
      <c r="A36" t="s">
        <v>1048</v>
      </c>
      <c r="B36" t="s">
        <v>1049</v>
      </c>
      <c r="C36" s="17">
        <v>2.9999999999999997E-4</v>
      </c>
      <c r="D36" s="17">
        <v>1</v>
      </c>
    </row>
    <row r="37" spans="1:4" x14ac:dyDescent="0.3">
      <c r="A37" t="s">
        <v>195</v>
      </c>
      <c r="B37" t="s">
        <v>196</v>
      </c>
      <c r="C37" s="17">
        <v>2.9999999999999997E-4</v>
      </c>
      <c r="D37" s="17">
        <v>1</v>
      </c>
    </row>
    <row r="38" spans="1:4" x14ac:dyDescent="0.3">
      <c r="A38" t="s">
        <v>584</v>
      </c>
      <c r="B38" t="s">
        <v>584</v>
      </c>
      <c r="C38" s="17">
        <v>2.9999999999999997E-4</v>
      </c>
      <c r="D38" s="17">
        <v>1</v>
      </c>
    </row>
    <row r="39" spans="1:4" x14ac:dyDescent="0.3">
      <c r="A39" t="s">
        <v>595</v>
      </c>
      <c r="B39" t="s">
        <v>596</v>
      </c>
      <c r="C39" s="17">
        <v>2.9999999999999997E-4</v>
      </c>
      <c r="D39" s="17">
        <v>1</v>
      </c>
    </row>
    <row r="40" spans="1:4" x14ac:dyDescent="0.3">
      <c r="A40" t="s">
        <v>998</v>
      </c>
      <c r="B40" t="s">
        <v>999</v>
      </c>
      <c r="C40" s="17">
        <v>2.9999999999999997E-4</v>
      </c>
      <c r="D40" s="17">
        <v>1</v>
      </c>
    </row>
    <row r="41" spans="1:4" x14ac:dyDescent="0.3">
      <c r="A41" t="s">
        <v>1195</v>
      </c>
      <c r="B41" t="s">
        <v>1196</v>
      </c>
      <c r="C41" s="17">
        <v>2.9999999999999997E-4</v>
      </c>
      <c r="D41" s="17">
        <v>1</v>
      </c>
    </row>
    <row r="42" spans="1:4" x14ac:dyDescent="0.3">
      <c r="A42" t="s">
        <v>945</v>
      </c>
      <c r="B42" t="s">
        <v>946</v>
      </c>
      <c r="C42" s="17">
        <v>2.9999999999999997E-4</v>
      </c>
      <c r="D42" s="17">
        <v>1</v>
      </c>
    </row>
    <row r="43" spans="1:4" x14ac:dyDescent="0.3">
      <c r="A43" t="s">
        <v>209</v>
      </c>
      <c r="B43" t="s">
        <v>209</v>
      </c>
      <c r="C43" s="17">
        <v>4.0000000000000002E-4</v>
      </c>
      <c r="D43" s="17">
        <v>1</v>
      </c>
    </row>
    <row r="44" spans="1:4" x14ac:dyDescent="0.3">
      <c r="A44" t="s">
        <v>141</v>
      </c>
      <c r="B44" t="s">
        <v>142</v>
      </c>
      <c r="C44" s="17">
        <v>4.0000000000000002E-4</v>
      </c>
      <c r="D44" s="17">
        <v>1</v>
      </c>
    </row>
    <row r="45" spans="1:4" x14ac:dyDescent="0.3">
      <c r="A45" t="s">
        <v>620</v>
      </c>
      <c r="B45" t="s">
        <v>621</v>
      </c>
      <c r="C45" s="17">
        <v>4.0000000000000002E-4</v>
      </c>
      <c r="D45" s="17">
        <v>1</v>
      </c>
    </row>
    <row r="46" spans="1:4" x14ac:dyDescent="0.3">
      <c r="A46" t="s">
        <v>720</v>
      </c>
      <c r="B46" t="s">
        <v>721</v>
      </c>
      <c r="C46" s="17">
        <v>5.0000000000000001E-4</v>
      </c>
      <c r="D46" s="17">
        <v>1</v>
      </c>
    </row>
    <row r="47" spans="1:4" x14ac:dyDescent="0.3">
      <c r="A47" t="s">
        <v>771</v>
      </c>
      <c r="B47" t="s">
        <v>772</v>
      </c>
      <c r="C47" s="17">
        <v>5.0000000000000001E-4</v>
      </c>
      <c r="D47" s="17">
        <v>1</v>
      </c>
    </row>
    <row r="48" spans="1:4" x14ac:dyDescent="0.3">
      <c r="A48" t="s">
        <v>249</v>
      </c>
      <c r="B48" t="s">
        <v>250</v>
      </c>
      <c r="C48" s="17">
        <v>5.0000000000000001E-4</v>
      </c>
      <c r="D48" s="17">
        <v>1</v>
      </c>
    </row>
    <row r="49" spans="1:4" x14ac:dyDescent="0.3">
      <c r="A49" t="s">
        <v>572</v>
      </c>
      <c r="B49" t="s">
        <v>573</v>
      </c>
      <c r="C49" s="17">
        <v>5.9999999999999995E-4</v>
      </c>
      <c r="D49" s="17">
        <v>1</v>
      </c>
    </row>
    <row r="50" spans="1:4" x14ac:dyDescent="0.3">
      <c r="A50" t="s">
        <v>101</v>
      </c>
      <c r="B50" t="s">
        <v>102</v>
      </c>
      <c r="C50" s="17">
        <v>5.9999999999999995E-4</v>
      </c>
      <c r="D50" s="17">
        <v>1</v>
      </c>
    </row>
    <row r="51" spans="1:4" x14ac:dyDescent="0.3">
      <c r="A51" t="s">
        <v>47</v>
      </c>
      <c r="B51" t="s">
        <v>47</v>
      </c>
      <c r="C51" s="17">
        <v>5.9999999999999995E-4</v>
      </c>
      <c r="D51" s="17">
        <v>1</v>
      </c>
    </row>
    <row r="52" spans="1:4" x14ac:dyDescent="0.3">
      <c r="A52" t="s">
        <v>866</v>
      </c>
      <c r="B52" t="s">
        <v>867</v>
      </c>
      <c r="C52" s="17">
        <v>5.9999999999999995E-4</v>
      </c>
      <c r="D52" s="17">
        <v>1</v>
      </c>
    </row>
    <row r="53" spans="1:4" x14ac:dyDescent="0.3">
      <c r="A53" t="s">
        <v>27</v>
      </c>
      <c r="B53" t="s">
        <v>28</v>
      </c>
      <c r="C53" s="17">
        <v>6.9999999999999999E-4</v>
      </c>
      <c r="D53" s="17">
        <v>1</v>
      </c>
    </row>
    <row r="54" spans="1:4" x14ac:dyDescent="0.3">
      <c r="A54" t="s">
        <v>352</v>
      </c>
      <c r="B54" t="s">
        <v>353</v>
      </c>
      <c r="C54" s="17">
        <v>6.9999999999999999E-4</v>
      </c>
      <c r="D54" s="17">
        <v>1</v>
      </c>
    </row>
    <row r="55" spans="1:4" x14ac:dyDescent="0.3">
      <c r="A55" t="s">
        <v>626</v>
      </c>
      <c r="B55" t="s">
        <v>627</v>
      </c>
      <c r="C55" s="17">
        <v>6.9999999999999999E-4</v>
      </c>
      <c r="D55" s="17">
        <v>1</v>
      </c>
    </row>
    <row r="56" spans="1:4" x14ac:dyDescent="0.3">
      <c r="A56" t="s">
        <v>358</v>
      </c>
      <c r="B56" t="s">
        <v>359</v>
      </c>
      <c r="C56" s="17">
        <v>8.0000000000000004E-4</v>
      </c>
      <c r="D56" s="17">
        <v>1</v>
      </c>
    </row>
    <row r="57" spans="1:4" x14ac:dyDescent="0.3">
      <c r="A57" t="s">
        <v>915</v>
      </c>
      <c r="B57" t="s">
        <v>916</v>
      </c>
      <c r="C57" s="17">
        <v>8.9999999999999998E-4</v>
      </c>
      <c r="D57" s="17">
        <v>1</v>
      </c>
    </row>
    <row r="58" spans="1:4" x14ac:dyDescent="0.3">
      <c r="A58" t="s">
        <v>777</v>
      </c>
      <c r="B58" t="s">
        <v>778</v>
      </c>
      <c r="C58" s="17">
        <v>8.9999999999999998E-4</v>
      </c>
      <c r="D58" s="17">
        <v>1</v>
      </c>
    </row>
    <row r="59" spans="1:4" x14ac:dyDescent="0.3">
      <c r="A59" t="s">
        <v>339</v>
      </c>
      <c r="B59" t="s">
        <v>340</v>
      </c>
      <c r="C59" s="17">
        <v>8.9999999999999998E-4</v>
      </c>
      <c r="D59" s="17">
        <v>1</v>
      </c>
    </row>
    <row r="60" spans="1:4" x14ac:dyDescent="0.3">
      <c r="A60" t="s">
        <v>1123</v>
      </c>
      <c r="B60" t="s">
        <v>1124</v>
      </c>
      <c r="C60" s="17">
        <v>8.9999999999999998E-4</v>
      </c>
      <c r="D60" s="17">
        <v>1</v>
      </c>
    </row>
    <row r="61" spans="1:4" x14ac:dyDescent="0.3">
      <c r="A61" t="s">
        <v>60</v>
      </c>
      <c r="B61" t="s">
        <v>61</v>
      </c>
      <c r="C61" s="17">
        <v>1E-3</v>
      </c>
      <c r="D61" s="17">
        <v>1</v>
      </c>
    </row>
    <row r="62" spans="1:4" x14ac:dyDescent="0.3">
      <c r="A62" t="s">
        <v>276</v>
      </c>
      <c r="B62" t="s">
        <v>277</v>
      </c>
      <c r="C62" s="17">
        <v>1E-3</v>
      </c>
      <c r="D62" s="17">
        <v>1</v>
      </c>
    </row>
    <row r="63" spans="1:4" x14ac:dyDescent="0.3">
      <c r="A63" t="s">
        <v>975</v>
      </c>
      <c r="B63" t="s">
        <v>976</v>
      </c>
      <c r="C63" s="17">
        <v>1E-3</v>
      </c>
      <c r="D63" s="17">
        <v>1</v>
      </c>
    </row>
    <row r="64" spans="1:4" x14ac:dyDescent="0.3">
      <c r="A64" t="s">
        <v>657</v>
      </c>
      <c r="B64" t="s">
        <v>658</v>
      </c>
      <c r="C64" s="17">
        <v>1.1000000000000001E-3</v>
      </c>
      <c r="D64" s="17">
        <v>1</v>
      </c>
    </row>
    <row r="65" spans="1:4" x14ac:dyDescent="0.3">
      <c r="A65" t="s">
        <v>1171</v>
      </c>
      <c r="B65" t="s">
        <v>1172</v>
      </c>
      <c r="C65" s="17">
        <v>1.1000000000000001E-3</v>
      </c>
      <c r="D65" s="17">
        <v>1</v>
      </c>
    </row>
    <row r="66" spans="1:4" x14ac:dyDescent="0.3">
      <c r="A66" t="s">
        <v>120</v>
      </c>
      <c r="B66" t="s">
        <v>121</v>
      </c>
      <c r="C66" s="17">
        <v>1.1000000000000001E-3</v>
      </c>
      <c r="D66" s="17">
        <v>1</v>
      </c>
    </row>
    <row r="67" spans="1:4" x14ac:dyDescent="0.3">
      <c r="A67" t="s">
        <v>896</v>
      </c>
      <c r="B67" t="s">
        <v>897</v>
      </c>
      <c r="C67" s="17">
        <v>1.1000000000000001E-3</v>
      </c>
      <c r="D67" s="17">
        <v>1</v>
      </c>
    </row>
    <row r="68" spans="1:4" x14ac:dyDescent="0.3">
      <c r="A68" t="s">
        <v>902</v>
      </c>
      <c r="B68" t="s">
        <v>903</v>
      </c>
      <c r="C68" s="17">
        <v>1.1000000000000001E-3</v>
      </c>
      <c r="D68" s="17">
        <v>1</v>
      </c>
    </row>
    <row r="69" spans="1:4" x14ac:dyDescent="0.3">
      <c r="A69" t="s">
        <v>168</v>
      </c>
      <c r="B69" t="s">
        <v>169</v>
      </c>
      <c r="C69" s="17">
        <v>1.1000000000000001E-3</v>
      </c>
      <c r="D69" s="17">
        <v>1</v>
      </c>
    </row>
    <row r="70" spans="1:4" x14ac:dyDescent="0.3">
      <c r="A70" t="s">
        <v>700</v>
      </c>
      <c r="B70" t="s">
        <v>701</v>
      </c>
      <c r="C70" s="17">
        <v>1.1999999999999999E-3</v>
      </c>
      <c r="D70" s="17">
        <v>1</v>
      </c>
    </row>
    <row r="71" spans="1:4" x14ac:dyDescent="0.3">
      <c r="A71" t="s">
        <v>471</v>
      </c>
      <c r="B71" t="s">
        <v>472</v>
      </c>
      <c r="C71" s="17">
        <v>1.1999999999999999E-3</v>
      </c>
      <c r="D71" s="17">
        <v>1</v>
      </c>
    </row>
    <row r="72" spans="1:4" x14ac:dyDescent="0.3">
      <c r="A72" t="s">
        <v>884</v>
      </c>
      <c r="B72" t="s">
        <v>885</v>
      </c>
      <c r="C72" s="17">
        <v>1.1999999999999999E-3</v>
      </c>
      <c r="D72" s="17">
        <v>1</v>
      </c>
    </row>
    <row r="73" spans="1:4" x14ac:dyDescent="0.3">
      <c r="A73" t="s">
        <v>1142</v>
      </c>
      <c r="B73" t="s">
        <v>1143</v>
      </c>
      <c r="C73" s="17">
        <v>1.2999999999999999E-3</v>
      </c>
      <c r="D73" s="17">
        <v>1</v>
      </c>
    </row>
    <row r="74" spans="1:4" x14ac:dyDescent="0.3">
      <c r="A74" t="s">
        <v>288</v>
      </c>
      <c r="B74" t="s">
        <v>288</v>
      </c>
      <c r="C74" s="17">
        <v>1.2999999999999999E-3</v>
      </c>
      <c r="D74" s="17">
        <v>1</v>
      </c>
    </row>
    <row r="75" spans="1:4" x14ac:dyDescent="0.3">
      <c r="A75" t="s">
        <v>1219</v>
      </c>
      <c r="B75" t="s">
        <v>1220</v>
      </c>
      <c r="C75" s="17">
        <v>1.2999999999999999E-3</v>
      </c>
      <c r="D75" s="17">
        <v>1</v>
      </c>
    </row>
    <row r="76" spans="1:4" x14ac:dyDescent="0.3">
      <c r="A76" t="s">
        <v>578</v>
      </c>
      <c r="B76" t="s">
        <v>579</v>
      </c>
      <c r="C76" s="17">
        <v>1.2999999999999999E-3</v>
      </c>
      <c r="D76" s="17">
        <v>1</v>
      </c>
    </row>
    <row r="77" spans="1:4" x14ac:dyDescent="0.3">
      <c r="A77" t="s">
        <v>796</v>
      </c>
      <c r="B77" t="s">
        <v>797</v>
      </c>
      <c r="C77" s="17">
        <v>1.4E-3</v>
      </c>
      <c r="D77" s="17">
        <v>1</v>
      </c>
    </row>
    <row r="78" spans="1:4" x14ac:dyDescent="0.3">
      <c r="A78" t="s">
        <v>384</v>
      </c>
      <c r="B78" t="s">
        <v>385</v>
      </c>
      <c r="C78" s="17">
        <v>1.4E-3</v>
      </c>
      <c r="D78" s="17">
        <v>1</v>
      </c>
    </row>
    <row r="79" spans="1:4" x14ac:dyDescent="0.3">
      <c r="A79" t="s">
        <v>1136</v>
      </c>
      <c r="B79" t="s">
        <v>1137</v>
      </c>
      <c r="C79" s="17">
        <v>1.4E-3</v>
      </c>
      <c r="D79" s="17">
        <v>1</v>
      </c>
    </row>
    <row r="80" spans="1:4" x14ac:dyDescent="0.3">
      <c r="A80" t="s">
        <v>498</v>
      </c>
      <c r="B80" t="s">
        <v>499</v>
      </c>
      <c r="C80" s="17">
        <v>1.4E-3</v>
      </c>
      <c r="D80" s="17">
        <v>1</v>
      </c>
    </row>
    <row r="81" spans="1:4" x14ac:dyDescent="0.3">
      <c r="A81" t="s">
        <v>688</v>
      </c>
      <c r="B81" t="s">
        <v>689</v>
      </c>
      <c r="C81" s="17">
        <v>1.4E-3</v>
      </c>
      <c r="D81" s="17">
        <v>1</v>
      </c>
    </row>
    <row r="82" spans="1:4" x14ac:dyDescent="0.3">
      <c r="A82" t="s">
        <v>1213</v>
      </c>
      <c r="B82" t="s">
        <v>1214</v>
      </c>
      <c r="C82" s="17">
        <v>1.4E-3</v>
      </c>
      <c r="D82" s="17">
        <v>1</v>
      </c>
    </row>
    <row r="83" spans="1:4" x14ac:dyDescent="0.3">
      <c r="A83" t="s">
        <v>842</v>
      </c>
      <c r="B83" t="s">
        <v>843</v>
      </c>
      <c r="C83" s="17">
        <v>1.5E-3</v>
      </c>
      <c r="D83" s="17">
        <v>1</v>
      </c>
    </row>
    <row r="84" spans="1:4" x14ac:dyDescent="0.3">
      <c r="A84" t="s">
        <v>107</v>
      </c>
      <c r="B84" t="s">
        <v>108</v>
      </c>
      <c r="C84" s="17">
        <v>1.5E-3</v>
      </c>
      <c r="D84" s="17">
        <v>1</v>
      </c>
    </row>
    <row r="85" spans="1:4" x14ac:dyDescent="0.3">
      <c r="A85" t="s">
        <v>202</v>
      </c>
      <c r="B85" t="s">
        <v>203</v>
      </c>
      <c r="C85" s="17">
        <v>1.6000000000000001E-3</v>
      </c>
      <c r="D85" s="17">
        <v>1</v>
      </c>
    </row>
    <row r="86" spans="1:4" x14ac:dyDescent="0.3">
      <c r="A86" t="s">
        <v>410</v>
      </c>
      <c r="B86" t="s">
        <v>411</v>
      </c>
      <c r="C86" s="17">
        <v>1.6000000000000001E-3</v>
      </c>
      <c r="D86" s="17">
        <v>1</v>
      </c>
    </row>
    <row r="87" spans="1:4" x14ac:dyDescent="0.3">
      <c r="A87" t="s">
        <v>1035</v>
      </c>
      <c r="B87" t="s">
        <v>1036</v>
      </c>
      <c r="C87" s="17">
        <v>1.6000000000000001E-3</v>
      </c>
      <c r="D87" s="17">
        <v>1</v>
      </c>
    </row>
    <row r="88" spans="1:4" x14ac:dyDescent="0.3">
      <c r="A88" t="s">
        <v>1074</v>
      </c>
      <c r="B88" t="s">
        <v>1075</v>
      </c>
      <c r="C88" s="17">
        <v>1.6999999999999999E-3</v>
      </c>
      <c r="D88" s="17">
        <v>1</v>
      </c>
    </row>
    <row r="89" spans="1:4" x14ac:dyDescent="0.3">
      <c r="A89" t="s">
        <v>878</v>
      </c>
      <c r="B89" t="s">
        <v>878</v>
      </c>
      <c r="C89" s="17">
        <v>1.8E-3</v>
      </c>
      <c r="D89" s="17">
        <v>1</v>
      </c>
    </row>
    <row r="90" spans="1:4" x14ac:dyDescent="0.3">
      <c r="A90" t="s">
        <v>262</v>
      </c>
      <c r="B90" t="s">
        <v>263</v>
      </c>
      <c r="C90" s="17">
        <v>1.9E-3</v>
      </c>
      <c r="D90" s="17">
        <v>1</v>
      </c>
    </row>
    <row r="91" spans="1:4" x14ac:dyDescent="0.3">
      <c r="A91" t="s">
        <v>300</v>
      </c>
      <c r="B91" t="s">
        <v>301</v>
      </c>
      <c r="C91" s="17">
        <v>1.9E-3</v>
      </c>
      <c r="D91" s="17">
        <v>1</v>
      </c>
    </row>
    <row r="92" spans="1:4" x14ac:dyDescent="0.3">
      <c r="A92" t="s">
        <v>510</v>
      </c>
      <c r="B92" t="s">
        <v>510</v>
      </c>
      <c r="C92" s="17">
        <v>1.9E-3</v>
      </c>
      <c r="D92" s="17">
        <v>1</v>
      </c>
    </row>
    <row r="93" spans="1:4" x14ac:dyDescent="0.3">
      <c r="A93" t="s">
        <v>371</v>
      </c>
      <c r="B93" t="s">
        <v>372</v>
      </c>
      <c r="C93" s="17">
        <v>2.0999999999999999E-3</v>
      </c>
      <c r="D93" s="17">
        <v>1</v>
      </c>
    </row>
    <row r="94" spans="1:4" x14ac:dyDescent="0.3">
      <c r="A94" t="s">
        <v>378</v>
      </c>
      <c r="B94" t="s">
        <v>379</v>
      </c>
      <c r="C94" s="17">
        <v>2.0999999999999999E-3</v>
      </c>
      <c r="D94" s="17">
        <v>1</v>
      </c>
    </row>
    <row r="95" spans="1:4" x14ac:dyDescent="0.3">
      <c r="A95" t="s">
        <v>161</v>
      </c>
      <c r="B95" t="s">
        <v>162</v>
      </c>
      <c r="C95" s="17">
        <v>2.2000000000000001E-3</v>
      </c>
      <c r="D95" s="17">
        <v>1</v>
      </c>
    </row>
    <row r="96" spans="1:4" x14ac:dyDescent="0.3">
      <c r="A96" t="s">
        <v>981</v>
      </c>
      <c r="B96" t="s">
        <v>982</v>
      </c>
      <c r="C96" s="17">
        <v>2.2000000000000001E-3</v>
      </c>
      <c r="D96" s="17">
        <v>1</v>
      </c>
    </row>
    <row r="97" spans="1:4" x14ac:dyDescent="0.3">
      <c r="A97" t="s">
        <v>188</v>
      </c>
      <c r="B97" t="s">
        <v>189</v>
      </c>
      <c r="C97" s="17">
        <v>2.3E-3</v>
      </c>
      <c r="D97" s="17">
        <v>1</v>
      </c>
    </row>
    <row r="98" spans="1:4" x14ac:dyDescent="0.3">
      <c r="A98" t="s">
        <v>1148</v>
      </c>
      <c r="B98" t="s">
        <v>1149</v>
      </c>
      <c r="C98" s="17">
        <v>2.3E-3</v>
      </c>
      <c r="D98" s="17">
        <v>1</v>
      </c>
    </row>
    <row r="99" spans="1:4" x14ac:dyDescent="0.3">
      <c r="A99" t="s">
        <v>423</v>
      </c>
      <c r="B99" t="s">
        <v>424</v>
      </c>
      <c r="C99" s="17">
        <v>2.3999999999999998E-3</v>
      </c>
      <c r="D99" s="17">
        <v>1</v>
      </c>
    </row>
    <row r="100" spans="1:4" x14ac:dyDescent="0.3">
      <c r="A100" t="s">
        <v>34</v>
      </c>
      <c r="B100" t="s">
        <v>34</v>
      </c>
      <c r="C100" s="17">
        <v>2.3999999999999998E-3</v>
      </c>
      <c r="D100" s="17">
        <v>1</v>
      </c>
    </row>
    <row r="101" spans="1:4" x14ac:dyDescent="0.3">
      <c r="A101" t="s">
        <v>802</v>
      </c>
      <c r="B101" t="s">
        <v>803</v>
      </c>
      <c r="C101" s="17">
        <v>2.3999999999999998E-3</v>
      </c>
      <c r="D101" s="17">
        <v>1</v>
      </c>
    </row>
    <row r="102" spans="1:4" x14ac:dyDescent="0.3">
      <c r="A102" t="s">
        <v>365</v>
      </c>
      <c r="B102" t="s">
        <v>366</v>
      </c>
      <c r="C102" s="17">
        <v>2.3999999999999998E-3</v>
      </c>
      <c r="D102" s="17">
        <v>1</v>
      </c>
    </row>
    <row r="103" spans="1:4" x14ac:dyDescent="0.3">
      <c r="A103" t="s">
        <v>478</v>
      </c>
      <c r="B103" t="s">
        <v>479</v>
      </c>
      <c r="C103" s="17">
        <v>2.5000000000000001E-3</v>
      </c>
      <c r="D103" s="17">
        <v>1</v>
      </c>
    </row>
    <row r="104" spans="1:4" x14ac:dyDescent="0.3">
      <c r="A104" t="s">
        <v>1243</v>
      </c>
      <c r="B104" t="s">
        <v>1243</v>
      </c>
      <c r="C104" s="17">
        <v>2.5999999999999999E-3</v>
      </c>
      <c r="D104" s="17">
        <v>1</v>
      </c>
    </row>
    <row r="105" spans="1:4" x14ac:dyDescent="0.3">
      <c r="A105" t="s">
        <v>1015</v>
      </c>
      <c r="B105" t="s">
        <v>1016</v>
      </c>
      <c r="C105" s="17">
        <v>2.7000000000000001E-3</v>
      </c>
      <c r="D105" s="17">
        <v>1</v>
      </c>
    </row>
    <row r="106" spans="1:4" x14ac:dyDescent="0.3">
      <c r="A106" t="s">
        <v>706</v>
      </c>
      <c r="B106" t="s">
        <v>707</v>
      </c>
      <c r="C106" s="17">
        <v>2.8E-3</v>
      </c>
      <c r="D106" s="17">
        <v>1</v>
      </c>
    </row>
    <row r="107" spans="1:4" x14ac:dyDescent="0.3">
      <c r="A107" t="s">
        <v>1054</v>
      </c>
      <c r="B107" t="s">
        <v>1055</v>
      </c>
      <c r="C107" s="17">
        <v>2.8999999999999998E-3</v>
      </c>
      <c r="D107" s="17">
        <v>1</v>
      </c>
    </row>
    <row r="108" spans="1:4" x14ac:dyDescent="0.3">
      <c r="A108" t="s">
        <v>114</v>
      </c>
      <c r="B108" t="s">
        <v>115</v>
      </c>
      <c r="C108" s="17">
        <v>3.0000000000000001E-3</v>
      </c>
      <c r="D108" s="17">
        <v>1</v>
      </c>
    </row>
    <row r="109" spans="1:4" x14ac:dyDescent="0.3">
      <c r="A109" t="s">
        <v>88</v>
      </c>
      <c r="B109" t="s">
        <v>88</v>
      </c>
      <c r="C109" s="17">
        <v>3.0000000000000001E-3</v>
      </c>
      <c r="D109" s="17">
        <v>1</v>
      </c>
    </row>
    <row r="110" spans="1:4" x14ac:dyDescent="0.3">
      <c r="A110" t="s">
        <v>453</v>
      </c>
      <c r="B110" t="s">
        <v>454</v>
      </c>
      <c r="C110" s="17">
        <v>3.0999999999999999E-3</v>
      </c>
      <c r="D110" s="17">
        <v>1</v>
      </c>
    </row>
    <row r="111" spans="1:4" x14ac:dyDescent="0.3">
      <c r="A111" t="s">
        <v>391</v>
      </c>
      <c r="B111" t="s">
        <v>392</v>
      </c>
      <c r="C111" s="17">
        <v>3.0999999999999999E-3</v>
      </c>
      <c r="D111" s="17">
        <v>1</v>
      </c>
    </row>
    <row r="112" spans="1:4" x14ac:dyDescent="0.3">
      <c r="A112" t="s">
        <v>921</v>
      </c>
      <c r="B112" t="s">
        <v>921</v>
      </c>
      <c r="C112" s="17">
        <v>3.2000000000000002E-3</v>
      </c>
      <c r="D112" s="17">
        <v>1</v>
      </c>
    </row>
    <row r="113" spans="1:4" x14ac:dyDescent="0.3">
      <c r="A113" t="s">
        <v>67</v>
      </c>
      <c r="B113" t="s">
        <v>68</v>
      </c>
      <c r="C113" s="17">
        <v>3.2000000000000002E-3</v>
      </c>
      <c r="D113" s="17">
        <v>1</v>
      </c>
    </row>
    <row r="114" spans="1:4" x14ac:dyDescent="0.3">
      <c r="A114" t="s">
        <v>1081</v>
      </c>
      <c r="B114" t="s">
        <v>1082</v>
      </c>
      <c r="C114" s="17">
        <v>3.2000000000000002E-3</v>
      </c>
      <c r="D114" s="17">
        <v>1</v>
      </c>
    </row>
    <row r="115" spans="1:4" x14ac:dyDescent="0.3">
      <c r="A115" t="s">
        <v>1154</v>
      </c>
      <c r="B115" t="s">
        <v>1155</v>
      </c>
      <c r="C115" s="17">
        <v>3.3E-3</v>
      </c>
      <c r="D115" s="17">
        <v>1</v>
      </c>
    </row>
    <row r="116" spans="1:4" x14ac:dyDescent="0.3">
      <c r="A116" t="s">
        <v>1110</v>
      </c>
      <c r="B116" t="s">
        <v>1111</v>
      </c>
      <c r="C116" s="17">
        <v>3.3E-3</v>
      </c>
      <c r="D116" s="17">
        <v>1</v>
      </c>
    </row>
    <row r="117" spans="1:4" x14ac:dyDescent="0.3">
      <c r="A117" t="s">
        <v>127</v>
      </c>
      <c r="B117" t="s">
        <v>128</v>
      </c>
      <c r="C117" s="17">
        <v>3.3E-3</v>
      </c>
      <c r="D117" s="17">
        <v>1</v>
      </c>
    </row>
    <row r="118" spans="1:4" x14ac:dyDescent="0.3">
      <c r="A118" t="s">
        <v>783</v>
      </c>
      <c r="B118" t="s">
        <v>784</v>
      </c>
      <c r="C118" s="17">
        <v>3.7000000000000002E-3</v>
      </c>
      <c r="D118" s="17">
        <v>1</v>
      </c>
    </row>
    <row r="119" spans="1:4" x14ac:dyDescent="0.3">
      <c r="A119" t="s">
        <v>541</v>
      </c>
      <c r="B119" t="s">
        <v>542</v>
      </c>
      <c r="C119" s="17">
        <v>3.7000000000000002E-3</v>
      </c>
      <c r="D119" s="17">
        <v>1</v>
      </c>
    </row>
    <row r="120" spans="1:4" x14ac:dyDescent="0.3">
      <c r="A120" t="s">
        <v>759</v>
      </c>
      <c r="B120" t="s">
        <v>760</v>
      </c>
      <c r="C120" s="17">
        <v>3.8E-3</v>
      </c>
      <c r="D120" s="17">
        <v>1</v>
      </c>
    </row>
    <row r="121" spans="1:4" x14ac:dyDescent="0.3">
      <c r="A121" t="s">
        <v>872</v>
      </c>
      <c r="B121" t="s">
        <v>873</v>
      </c>
      <c r="C121" s="17">
        <v>3.8E-3</v>
      </c>
      <c r="D121" s="17">
        <v>1</v>
      </c>
    </row>
    <row r="122" spans="1:4" x14ac:dyDescent="0.3">
      <c r="A122" t="s">
        <v>319</v>
      </c>
      <c r="B122" t="s">
        <v>320</v>
      </c>
      <c r="C122" s="17">
        <v>3.8E-3</v>
      </c>
      <c r="D122" s="17">
        <v>1</v>
      </c>
    </row>
    <row r="123" spans="1:4" x14ac:dyDescent="0.3">
      <c r="A123" t="s">
        <v>134</v>
      </c>
      <c r="B123" t="s">
        <v>135</v>
      </c>
      <c r="C123" s="17">
        <v>3.8999999999999998E-3</v>
      </c>
      <c r="D123" s="17">
        <v>1</v>
      </c>
    </row>
    <row r="124" spans="1:4" x14ac:dyDescent="0.3">
      <c r="A124" t="s">
        <v>446</v>
      </c>
      <c r="B124" t="s">
        <v>447</v>
      </c>
      <c r="C124" s="17">
        <v>4.0000000000000001E-3</v>
      </c>
      <c r="D124" s="17">
        <v>1</v>
      </c>
    </row>
    <row r="125" spans="1:4" x14ac:dyDescent="0.3">
      <c r="A125" t="s">
        <v>219</v>
      </c>
      <c r="B125" t="s">
        <v>220</v>
      </c>
      <c r="C125" s="17">
        <v>2.0000000000000001E-4</v>
      </c>
      <c r="D125" s="17">
        <v>1</v>
      </c>
    </row>
    <row r="126" spans="1:4" x14ac:dyDescent="0.3">
      <c r="B126" t="s">
        <v>465</v>
      </c>
      <c r="C126" s="17">
        <v>7.9000000000000008E-3</v>
      </c>
      <c r="D126" s="17">
        <v>1</v>
      </c>
    </row>
    <row r="127" spans="1:4" x14ac:dyDescent="0.3">
      <c r="A127" t="s">
        <v>1091</v>
      </c>
      <c r="B127" t="s">
        <v>1092</v>
      </c>
      <c r="C127" s="17">
        <v>4.1000000000000003E-3</v>
      </c>
      <c r="D127" s="17">
        <v>1</v>
      </c>
    </row>
    <row r="128" spans="1:4" x14ac:dyDescent="0.3">
      <c r="A128" t="s">
        <v>815</v>
      </c>
      <c r="B128" t="s">
        <v>816</v>
      </c>
      <c r="C128" s="17">
        <v>4.1000000000000003E-3</v>
      </c>
      <c r="D128" s="17">
        <v>1</v>
      </c>
    </row>
    <row r="129" spans="1:4" x14ac:dyDescent="0.3">
      <c r="A129" t="s">
        <v>681</v>
      </c>
      <c r="B129" t="s">
        <v>682</v>
      </c>
      <c r="C129" s="17">
        <v>4.1000000000000003E-3</v>
      </c>
      <c r="D129" s="17">
        <v>1</v>
      </c>
    </row>
    <row r="130" spans="1:4" x14ac:dyDescent="0.3">
      <c r="A130" t="s">
        <v>1165</v>
      </c>
      <c r="B130" t="s">
        <v>1166</v>
      </c>
      <c r="C130" s="17">
        <v>4.1000000000000003E-3</v>
      </c>
      <c r="D130" s="17">
        <v>1</v>
      </c>
    </row>
    <row r="131" spans="1:4" x14ac:dyDescent="0.3">
      <c r="A131" t="s">
        <v>14</v>
      </c>
      <c r="B131" t="s">
        <v>15</v>
      </c>
      <c r="C131" s="17">
        <v>4.3E-3</v>
      </c>
      <c r="D131" s="17">
        <v>1</v>
      </c>
    </row>
    <row r="132" spans="1:4" x14ac:dyDescent="0.3">
      <c r="A132" t="s">
        <v>256</v>
      </c>
      <c r="B132" t="s">
        <v>257</v>
      </c>
      <c r="C132" s="17">
        <v>4.3E-3</v>
      </c>
      <c r="D132" s="17">
        <v>1</v>
      </c>
    </row>
    <row r="133" spans="1:4" x14ac:dyDescent="0.3">
      <c r="A133" t="s">
        <v>827</v>
      </c>
      <c r="B133" t="s">
        <v>828</v>
      </c>
      <c r="C133" s="17">
        <v>4.3E-3</v>
      </c>
      <c r="D133" s="17">
        <v>1</v>
      </c>
    </row>
    <row r="134" spans="1:4" x14ac:dyDescent="0.3">
      <c r="A134" t="s">
        <v>225</v>
      </c>
      <c r="B134" t="s">
        <v>226</v>
      </c>
      <c r="C134" s="17">
        <v>4.3E-3</v>
      </c>
      <c r="D134" s="17">
        <v>1</v>
      </c>
    </row>
    <row r="135" spans="1:4" x14ac:dyDescent="0.3">
      <c r="A135" t="s">
        <v>821</v>
      </c>
      <c r="B135" t="s">
        <v>822</v>
      </c>
      <c r="C135" s="17">
        <v>4.3E-3</v>
      </c>
      <c r="D135" s="17">
        <v>1</v>
      </c>
    </row>
    <row r="136" spans="1:4" x14ac:dyDescent="0.3">
      <c r="A136" t="s">
        <v>435</v>
      </c>
      <c r="B136" t="s">
        <v>436</v>
      </c>
      <c r="C136" s="17">
        <v>4.4999999999999997E-3</v>
      </c>
      <c r="D136" s="17">
        <v>1</v>
      </c>
    </row>
    <row r="137" spans="1:4" x14ac:dyDescent="0.3">
      <c r="A137" t="s">
        <v>21</v>
      </c>
      <c r="B137" t="s">
        <v>21</v>
      </c>
      <c r="C137" s="17">
        <v>4.4999999999999997E-3</v>
      </c>
      <c r="D137" s="17">
        <v>1</v>
      </c>
    </row>
    <row r="138" spans="1:4" x14ac:dyDescent="0.3">
      <c r="A138" t="s">
        <v>651</v>
      </c>
      <c r="B138" t="s">
        <v>651</v>
      </c>
      <c r="C138" s="17">
        <v>4.5999999999999999E-3</v>
      </c>
      <c r="D138" s="17">
        <v>1</v>
      </c>
    </row>
    <row r="139" spans="1:4" x14ac:dyDescent="0.3">
      <c r="A139" t="s">
        <v>726</v>
      </c>
      <c r="B139" t="s">
        <v>727</v>
      </c>
      <c r="C139" s="17">
        <v>4.5999999999999999E-3</v>
      </c>
      <c r="D139" s="17">
        <v>1</v>
      </c>
    </row>
    <row r="140" spans="1:4" x14ac:dyDescent="0.3">
      <c r="A140" t="s">
        <v>148</v>
      </c>
      <c r="B140" t="s">
        <v>149</v>
      </c>
      <c r="C140" s="17">
        <v>4.7000000000000002E-3</v>
      </c>
      <c r="D140" s="17">
        <v>1</v>
      </c>
    </row>
    <row r="141" spans="1:4" x14ac:dyDescent="0.3">
      <c r="A141" t="s">
        <v>638</v>
      </c>
      <c r="B141" t="s">
        <v>639</v>
      </c>
      <c r="C141" s="17">
        <v>5.0000000000000001E-3</v>
      </c>
      <c r="D141" s="17">
        <v>1</v>
      </c>
    </row>
    <row r="142" spans="1:4" x14ac:dyDescent="0.3">
      <c r="A142" t="s">
        <v>242</v>
      </c>
      <c r="B142" t="s">
        <v>243</v>
      </c>
      <c r="C142" s="17">
        <v>5.0000000000000001E-3</v>
      </c>
      <c r="D142" s="17">
        <v>1</v>
      </c>
    </row>
    <row r="143" spans="1:4" x14ac:dyDescent="0.3">
      <c r="A143" t="s">
        <v>548</v>
      </c>
      <c r="B143" t="s">
        <v>548</v>
      </c>
      <c r="C143" s="17">
        <v>5.0000000000000001E-3</v>
      </c>
      <c r="D143" s="17">
        <v>1</v>
      </c>
    </row>
    <row r="144" spans="1:4" x14ac:dyDescent="0.3">
      <c r="A144" t="s">
        <v>752</v>
      </c>
      <c r="B144" t="s">
        <v>753</v>
      </c>
      <c r="C144" s="17">
        <v>5.1000000000000004E-3</v>
      </c>
      <c r="D144" s="17">
        <v>1</v>
      </c>
    </row>
    <row r="145" spans="1:4" x14ac:dyDescent="0.3">
      <c r="A145" t="s">
        <v>346</v>
      </c>
      <c r="B145" t="s">
        <v>347</v>
      </c>
      <c r="C145" s="17">
        <v>5.1999999999999998E-3</v>
      </c>
      <c r="D145" s="17">
        <v>1</v>
      </c>
    </row>
    <row r="146" spans="1:4" x14ac:dyDescent="0.3">
      <c r="A146" t="s">
        <v>663</v>
      </c>
      <c r="B146" t="s">
        <v>664</v>
      </c>
      <c r="C146" s="17">
        <v>5.1999999999999998E-3</v>
      </c>
      <c r="D146" s="17">
        <v>1</v>
      </c>
    </row>
    <row r="147" spans="1:4" x14ac:dyDescent="0.3">
      <c r="A147" t="s">
        <v>601</v>
      </c>
      <c r="B147" t="s">
        <v>602</v>
      </c>
      <c r="C147" s="17">
        <v>5.1999999999999998E-3</v>
      </c>
      <c r="D147" s="17">
        <v>1</v>
      </c>
    </row>
    <row r="148" spans="1:4" x14ac:dyDescent="0.3">
      <c r="A148" t="s">
        <v>306</v>
      </c>
      <c r="B148" t="s">
        <v>307</v>
      </c>
      <c r="C148" s="17">
        <v>5.1999999999999998E-3</v>
      </c>
      <c r="D148" s="17">
        <v>1</v>
      </c>
    </row>
    <row r="149" spans="1:4" x14ac:dyDescent="0.3">
      <c r="A149" t="s">
        <v>94</v>
      </c>
      <c r="B149" t="s">
        <v>95</v>
      </c>
      <c r="C149" s="17">
        <v>5.1999999999999998E-3</v>
      </c>
      <c r="D149" s="17">
        <v>1</v>
      </c>
    </row>
    <row r="150" spans="1:4" x14ac:dyDescent="0.3">
      <c r="A150" t="s">
        <v>1022</v>
      </c>
      <c r="B150" t="s">
        <v>1023</v>
      </c>
      <c r="C150" s="17">
        <v>5.4000000000000003E-3</v>
      </c>
      <c r="D150" s="17">
        <v>1</v>
      </c>
    </row>
    <row r="151" spans="1:4" x14ac:dyDescent="0.3">
      <c r="A151" t="s">
        <v>1225</v>
      </c>
      <c r="B151" t="s">
        <v>1226</v>
      </c>
      <c r="C151" s="17">
        <v>5.7999999999999996E-3</v>
      </c>
      <c r="D151" s="17">
        <v>1</v>
      </c>
    </row>
    <row r="152" spans="1:4" x14ac:dyDescent="0.3">
      <c r="A152" t="s">
        <v>181</v>
      </c>
      <c r="B152" t="s">
        <v>182</v>
      </c>
      <c r="C152" s="17">
        <v>5.8999999999999999E-3</v>
      </c>
      <c r="D152" s="17">
        <v>1</v>
      </c>
    </row>
    <row r="153" spans="1:4" x14ac:dyDescent="0.3">
      <c r="A153" t="s">
        <v>429</v>
      </c>
      <c r="B153" t="s">
        <v>430</v>
      </c>
      <c r="C153" s="17">
        <v>5.8999999999999999E-3</v>
      </c>
      <c r="D153" s="17">
        <v>1</v>
      </c>
    </row>
    <row r="154" spans="1:4" x14ac:dyDescent="0.3">
      <c r="A154" t="s">
        <v>808</v>
      </c>
      <c r="B154" t="s">
        <v>809</v>
      </c>
      <c r="C154" s="17">
        <v>6.1999999999999998E-3</v>
      </c>
      <c r="D154" s="17">
        <v>1</v>
      </c>
    </row>
    <row r="155" spans="1:4" x14ac:dyDescent="0.3">
      <c r="A155" t="s">
        <v>1129</v>
      </c>
      <c r="B155" t="s">
        <v>1130</v>
      </c>
      <c r="C155" s="17">
        <v>6.4000000000000003E-3</v>
      </c>
      <c r="D155" s="17">
        <v>1</v>
      </c>
    </row>
    <row r="156" spans="1:4" x14ac:dyDescent="0.3">
      <c r="A156" t="s">
        <v>491</v>
      </c>
      <c r="B156" t="s">
        <v>492</v>
      </c>
      <c r="C156" s="17">
        <v>6.6E-3</v>
      </c>
      <c r="D156" s="17">
        <v>1</v>
      </c>
    </row>
    <row r="157" spans="1:4" x14ac:dyDescent="0.3">
      <c r="A157" t="s">
        <v>535</v>
      </c>
      <c r="B157" t="s">
        <v>536</v>
      </c>
      <c r="C157" s="17">
        <v>6.7000000000000002E-3</v>
      </c>
      <c r="D157" s="17">
        <v>1</v>
      </c>
    </row>
    <row r="158" spans="1:4" x14ac:dyDescent="0.3">
      <c r="A158" t="s">
        <v>53</v>
      </c>
      <c r="B158" t="s">
        <v>54</v>
      </c>
      <c r="C158" s="17">
        <v>6.7000000000000002E-3</v>
      </c>
      <c r="D158" s="17">
        <v>1</v>
      </c>
    </row>
    <row r="159" spans="1:4" x14ac:dyDescent="0.3">
      <c r="A159" t="s">
        <v>7</v>
      </c>
      <c r="B159" t="s">
        <v>8</v>
      </c>
      <c r="C159" s="17">
        <v>6.7999999999999996E-3</v>
      </c>
      <c r="D159" s="17">
        <v>1</v>
      </c>
    </row>
    <row r="160" spans="1:4" x14ac:dyDescent="0.3">
      <c r="A160" t="s">
        <v>1004</v>
      </c>
      <c r="B160" t="s">
        <v>1005</v>
      </c>
      <c r="C160" s="17">
        <v>6.8999999999999999E-3</v>
      </c>
      <c r="D160" s="17">
        <v>1</v>
      </c>
    </row>
    <row r="161" spans="1:4" x14ac:dyDescent="0.3">
      <c r="A161" t="s">
        <v>1104</v>
      </c>
      <c r="B161" t="s">
        <v>1105</v>
      </c>
      <c r="C161" s="17">
        <v>7.1999999999999998E-3</v>
      </c>
      <c r="D161" s="17">
        <v>1</v>
      </c>
    </row>
    <row r="162" spans="1:4" x14ac:dyDescent="0.3">
      <c r="A162" t="s">
        <v>515</v>
      </c>
      <c r="B162" t="s">
        <v>516</v>
      </c>
      <c r="C162" s="17">
        <v>7.1999999999999998E-3</v>
      </c>
      <c r="D162" s="17">
        <v>1</v>
      </c>
    </row>
    <row r="163" spans="1:4" x14ac:dyDescent="0.3">
      <c r="A163" t="s">
        <v>1067</v>
      </c>
      <c r="B163" t="s">
        <v>1068</v>
      </c>
      <c r="C163" s="17">
        <v>7.4000000000000003E-3</v>
      </c>
      <c r="D163" s="17">
        <v>1</v>
      </c>
    </row>
    <row r="164" spans="1:4" x14ac:dyDescent="0.3">
      <c r="A164" t="s">
        <v>1207</v>
      </c>
      <c r="B164" t="s">
        <v>1208</v>
      </c>
      <c r="C164" s="17">
        <v>7.4000000000000003E-3</v>
      </c>
      <c r="D164" s="17">
        <v>1</v>
      </c>
    </row>
    <row r="165" spans="1:4" x14ac:dyDescent="0.3">
      <c r="A165" t="s">
        <v>632</v>
      </c>
      <c r="B165" t="s">
        <v>633</v>
      </c>
      <c r="C165" s="17">
        <v>7.7000000000000002E-3</v>
      </c>
      <c r="D165" s="17">
        <v>1</v>
      </c>
    </row>
    <row r="166" spans="1:4" x14ac:dyDescent="0.3">
      <c r="A166" t="s">
        <v>332</v>
      </c>
      <c r="B166" t="s">
        <v>333</v>
      </c>
      <c r="C166" s="17">
        <v>7.7000000000000002E-3</v>
      </c>
      <c r="D166" s="17">
        <v>1</v>
      </c>
    </row>
    <row r="167" spans="1:4" x14ac:dyDescent="0.3">
      <c r="A167" t="s">
        <v>40</v>
      </c>
      <c r="B167" t="s">
        <v>41</v>
      </c>
      <c r="C167" s="17">
        <v>7.7999999999999996E-3</v>
      </c>
      <c r="D167" s="17">
        <v>1</v>
      </c>
    </row>
    <row r="168" spans="1:4" x14ac:dyDescent="0.3">
      <c r="A168" t="s">
        <v>81</v>
      </c>
      <c r="B168" t="s">
        <v>82</v>
      </c>
      <c r="C168" s="17">
        <v>8.0000000000000002E-3</v>
      </c>
      <c r="D168" s="17">
        <v>1</v>
      </c>
    </row>
    <row r="169" spans="1:4" x14ac:dyDescent="0.3">
      <c r="A169" t="s">
        <v>693</v>
      </c>
      <c r="B169" t="s">
        <v>694</v>
      </c>
      <c r="C169" s="17">
        <v>8.0999999999999996E-3</v>
      </c>
      <c r="D169" s="17">
        <v>1</v>
      </c>
    </row>
    <row r="170" spans="1:4" x14ac:dyDescent="0.3">
      <c r="A170" t="s">
        <v>745</v>
      </c>
      <c r="B170" t="s">
        <v>746</v>
      </c>
      <c r="C170" s="17">
        <v>8.6999999999999994E-3</v>
      </c>
      <c r="D170" s="17">
        <v>1</v>
      </c>
    </row>
    <row r="171" spans="1:4" x14ac:dyDescent="0.3">
      <c r="A171" t="s">
        <v>312</v>
      </c>
      <c r="B171" t="s">
        <v>313</v>
      </c>
      <c r="C171" s="17">
        <v>8.8000000000000005E-3</v>
      </c>
      <c r="D171" s="17">
        <v>1</v>
      </c>
    </row>
    <row r="172" spans="1:4" x14ac:dyDescent="0.3">
      <c r="A172" t="s">
        <v>485</v>
      </c>
      <c r="B172" t="s">
        <v>485</v>
      </c>
      <c r="C172" s="17">
        <v>8.9999999999999993E-3</v>
      </c>
      <c r="D172" s="17">
        <v>1</v>
      </c>
    </row>
    <row r="173" spans="1:4" x14ac:dyDescent="0.3">
      <c r="A173" t="s">
        <v>938</v>
      </c>
      <c r="B173" t="s">
        <v>939</v>
      </c>
      <c r="C173" s="17">
        <v>9.1000000000000004E-3</v>
      </c>
      <c r="D173" s="17">
        <v>1</v>
      </c>
    </row>
    <row r="174" spans="1:4" x14ac:dyDescent="0.3">
      <c r="A174" t="s">
        <v>765</v>
      </c>
      <c r="B174" t="s">
        <v>766</v>
      </c>
      <c r="C174" s="17">
        <v>9.1999999999999998E-3</v>
      </c>
      <c r="D174" s="17">
        <v>1</v>
      </c>
    </row>
    <row r="175" spans="1:4" x14ac:dyDescent="0.3">
      <c r="A175" t="s">
        <v>565</v>
      </c>
      <c r="B175" t="s">
        <v>566</v>
      </c>
      <c r="C175" s="17">
        <v>9.1999999999999998E-3</v>
      </c>
      <c r="D175" s="17">
        <v>1</v>
      </c>
    </row>
    <row r="176" spans="1:4" x14ac:dyDescent="0.3">
      <c r="A176" t="s">
        <v>1029</v>
      </c>
      <c r="B176" t="s">
        <v>1029</v>
      </c>
      <c r="C176" s="17">
        <v>9.5999999999999992E-3</v>
      </c>
      <c r="D176" s="17">
        <v>1</v>
      </c>
    </row>
    <row r="177" spans="1:4" x14ac:dyDescent="0.3">
      <c r="A177" t="s">
        <v>991</v>
      </c>
      <c r="B177" t="s">
        <v>992</v>
      </c>
      <c r="C177" s="17">
        <v>9.7999999999999997E-3</v>
      </c>
      <c r="D177" s="17">
        <v>1</v>
      </c>
    </row>
    <row r="178" spans="1:4" x14ac:dyDescent="0.3">
      <c r="A178" t="s">
        <v>644</v>
      </c>
      <c r="B178" t="s">
        <v>645</v>
      </c>
      <c r="C178" s="17">
        <v>1.04E-2</v>
      </c>
      <c r="D178" s="17">
        <v>1</v>
      </c>
    </row>
    <row r="179" spans="1:4" x14ac:dyDescent="0.3">
      <c r="A179" t="s">
        <v>1177</v>
      </c>
      <c r="B179" t="s">
        <v>1178</v>
      </c>
      <c r="C179" s="17">
        <v>1.0500000000000001E-2</v>
      </c>
      <c r="D179" s="17">
        <v>1</v>
      </c>
    </row>
    <row r="180" spans="1:4" x14ac:dyDescent="0.3">
      <c r="A180" t="s">
        <v>607</v>
      </c>
      <c r="B180" t="s">
        <v>608</v>
      </c>
      <c r="C180" s="17">
        <v>1.06E-2</v>
      </c>
      <c r="D180" s="17">
        <v>1</v>
      </c>
    </row>
    <row r="181" spans="1:4" x14ac:dyDescent="0.3">
      <c r="A181" t="s">
        <v>553</v>
      </c>
      <c r="B181" t="s">
        <v>554</v>
      </c>
      <c r="C181" s="17">
        <v>1.09E-2</v>
      </c>
      <c r="D181" s="17">
        <v>1</v>
      </c>
    </row>
    <row r="182" spans="1:4" x14ac:dyDescent="0.3">
      <c r="A182" t="s">
        <v>713</v>
      </c>
      <c r="B182" t="s">
        <v>714</v>
      </c>
      <c r="C182" s="17">
        <v>1.0999999999999999E-2</v>
      </c>
      <c r="D182" s="17">
        <v>1</v>
      </c>
    </row>
    <row r="183" spans="1:4" x14ac:dyDescent="0.3">
      <c r="A183" t="s">
        <v>1041</v>
      </c>
      <c r="B183" t="s">
        <v>1042</v>
      </c>
      <c r="C183" s="17">
        <v>1.12E-2</v>
      </c>
      <c r="D183" s="17">
        <v>1</v>
      </c>
    </row>
    <row r="184" spans="1:4" x14ac:dyDescent="0.3">
      <c r="A184" t="s">
        <v>789</v>
      </c>
      <c r="B184" t="s">
        <v>790</v>
      </c>
      <c r="C184" s="17">
        <v>1.1299999999999999E-2</v>
      </c>
      <c r="D184" s="17">
        <v>1</v>
      </c>
    </row>
    <row r="185" spans="1:4" x14ac:dyDescent="0.3">
      <c r="A185" t="s">
        <v>932</v>
      </c>
      <c r="B185" t="s">
        <v>933</v>
      </c>
      <c r="C185" s="17">
        <v>1.1900000000000001E-2</v>
      </c>
      <c r="D185" s="17">
        <v>1</v>
      </c>
    </row>
    <row r="186" spans="1:4" x14ac:dyDescent="0.3">
      <c r="A186" t="s">
        <v>926</v>
      </c>
      <c r="B186" t="s">
        <v>927</v>
      </c>
      <c r="C186" s="17">
        <v>1.1900000000000001E-2</v>
      </c>
      <c r="D186" s="17">
        <v>1</v>
      </c>
    </row>
    <row r="187" spans="1:4" x14ac:dyDescent="0.3">
      <c r="A187" t="s">
        <v>416</v>
      </c>
      <c r="B187" t="s">
        <v>417</v>
      </c>
      <c r="C187" s="17">
        <v>1.1900000000000001E-2</v>
      </c>
      <c r="D187" s="17">
        <v>1</v>
      </c>
    </row>
    <row r="188" spans="1:4" x14ac:dyDescent="0.3">
      <c r="A188" t="s">
        <v>398</v>
      </c>
      <c r="B188" t="s">
        <v>399</v>
      </c>
      <c r="C188" s="17">
        <v>1.2999999999999999E-2</v>
      </c>
      <c r="D188" s="17">
        <v>1</v>
      </c>
    </row>
    <row r="189" spans="1:4" x14ac:dyDescent="0.3">
      <c r="A189" t="s">
        <v>231</v>
      </c>
      <c r="B189" t="s">
        <v>232</v>
      </c>
      <c r="C189" s="17">
        <v>1.3100000000000001E-2</v>
      </c>
      <c r="D189" s="17">
        <v>1</v>
      </c>
    </row>
    <row r="190" spans="1:4" x14ac:dyDescent="0.3">
      <c r="A190" t="s">
        <v>269</v>
      </c>
      <c r="B190" t="s">
        <v>270</v>
      </c>
      <c r="C190" s="17">
        <v>1.32E-2</v>
      </c>
      <c r="D190" s="17">
        <v>1</v>
      </c>
    </row>
    <row r="191" spans="1:4" x14ac:dyDescent="0.3">
      <c r="A191" t="s">
        <v>951</v>
      </c>
      <c r="B191" t="s">
        <v>952</v>
      </c>
      <c r="C191" s="17">
        <v>1.3299999999999999E-2</v>
      </c>
      <c r="D191" s="17">
        <v>1</v>
      </c>
    </row>
    <row r="192" spans="1:4" x14ac:dyDescent="0.3">
      <c r="A192" t="s">
        <v>890</v>
      </c>
      <c r="B192" t="s">
        <v>891</v>
      </c>
      <c r="C192" s="17">
        <v>1.5900000000000001E-2</v>
      </c>
      <c r="D192" s="17">
        <v>1</v>
      </c>
    </row>
    <row r="193" spans="1:4" x14ac:dyDescent="0.3">
      <c r="A193" t="s">
        <v>528</v>
      </c>
      <c r="B193" t="s">
        <v>529</v>
      </c>
      <c r="C193" s="17">
        <v>1.5900000000000001E-2</v>
      </c>
      <c r="D193" s="17">
        <v>1</v>
      </c>
    </row>
    <row r="194" spans="1:4" x14ac:dyDescent="0.3">
      <c r="A194" t="s">
        <v>1116</v>
      </c>
      <c r="B194" t="s">
        <v>1117</v>
      </c>
      <c r="C194" s="17">
        <v>1.6199999999999999E-2</v>
      </c>
      <c r="D194" s="17">
        <v>1</v>
      </c>
    </row>
    <row r="195" spans="1:4" x14ac:dyDescent="0.3">
      <c r="A195" t="s">
        <v>739</v>
      </c>
      <c r="B195" t="s">
        <v>739</v>
      </c>
      <c r="C195" s="17">
        <v>1.6400000000000001E-2</v>
      </c>
      <c r="D195" s="17">
        <v>1</v>
      </c>
    </row>
    <row r="196" spans="1:4" x14ac:dyDescent="0.3">
      <c r="A196" t="s">
        <v>1097</v>
      </c>
      <c r="B196" t="s">
        <v>1098</v>
      </c>
      <c r="C196" s="17">
        <v>1.66E-2</v>
      </c>
      <c r="D196" s="17">
        <v>1</v>
      </c>
    </row>
    <row r="197" spans="1:4" x14ac:dyDescent="0.3">
      <c r="A197" t="s">
        <v>1184</v>
      </c>
      <c r="B197" t="s">
        <v>1185</v>
      </c>
      <c r="C197" s="17">
        <v>1.83E-2</v>
      </c>
      <c r="D197" s="17">
        <v>1</v>
      </c>
    </row>
    <row r="198" spans="1:4" x14ac:dyDescent="0.3">
      <c r="A198" t="s">
        <v>522</v>
      </c>
      <c r="B198" t="s">
        <v>522</v>
      </c>
      <c r="C198" s="17">
        <v>2.1600000000000001E-2</v>
      </c>
      <c r="D198" s="17">
        <v>1</v>
      </c>
    </row>
    <row r="199" spans="1:4" x14ac:dyDescent="0.3">
      <c r="A199" t="s">
        <v>732</v>
      </c>
      <c r="B199" t="s">
        <v>733</v>
      </c>
      <c r="C199" s="17">
        <v>2.5999999999999999E-2</v>
      </c>
      <c r="D199" s="17">
        <v>1</v>
      </c>
    </row>
    <row r="200" spans="1:4" x14ac:dyDescent="0.3">
      <c r="A200" t="s">
        <v>859</v>
      </c>
      <c r="B200" t="s">
        <v>860</v>
      </c>
      <c r="C200" s="17">
        <v>2.8500000000000001E-2</v>
      </c>
      <c r="D200" s="17">
        <v>1</v>
      </c>
    </row>
    <row r="201" spans="1:4" x14ac:dyDescent="0.3">
      <c r="A201" t="s">
        <v>908</v>
      </c>
      <c r="B201" t="s">
        <v>909</v>
      </c>
      <c r="C201" s="17">
        <v>2.9399999999999999E-2</v>
      </c>
      <c r="D201" s="17">
        <v>1</v>
      </c>
    </row>
    <row r="202" spans="1:4" x14ac:dyDescent="0.3">
      <c r="A202" t="s">
        <v>968</v>
      </c>
      <c r="B202" t="s">
        <v>969</v>
      </c>
      <c r="C202" s="17">
        <v>3.6900000000000002E-2</v>
      </c>
      <c r="D202" s="17">
        <v>1</v>
      </c>
    </row>
    <row r="203" spans="1:4" x14ac:dyDescent="0.3">
      <c r="A203" t="s">
        <v>1201</v>
      </c>
      <c r="B203" t="s">
        <v>1202</v>
      </c>
      <c r="C203" s="17">
        <v>4.2700000000000002E-2</v>
      </c>
      <c r="D203" s="17">
        <v>1</v>
      </c>
    </row>
    <row r="204" spans="1:4" x14ac:dyDescent="0.3">
      <c r="A204" t="s">
        <v>1255</v>
      </c>
      <c r="C204" s="17">
        <v>4.6449999999999972E-3</v>
      </c>
      <c r="D204" s="17">
        <v>200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3FDFF-7847-4F1E-8D9B-FDCE35756210}">
  <sheetPr codeName="Sheet2"/>
  <dimension ref="A1:T201"/>
  <sheetViews>
    <sheetView workbookViewId="0">
      <selection activeCell="H11" sqref="H11"/>
    </sheetView>
  </sheetViews>
  <sheetFormatPr defaultRowHeight="14.4" x14ac:dyDescent="0.3"/>
  <cols>
    <col min="1" max="1" width="30.77734375" bestFit="1" customWidth="1"/>
    <col min="2" max="2" width="11.33203125" bestFit="1" customWidth="1"/>
    <col min="3" max="3" width="12.77734375" bestFit="1" customWidth="1"/>
    <col min="4" max="4" width="14.88671875" bestFit="1" customWidth="1"/>
    <col min="5" max="5" width="17.44140625" bestFit="1" customWidth="1"/>
    <col min="6" max="6" width="18.21875" bestFit="1" customWidth="1"/>
    <col min="7" max="7" width="18.5546875" bestFit="1" customWidth="1"/>
    <col min="8" max="8" width="18.77734375" bestFit="1" customWidth="1"/>
    <col min="9" max="9" width="12" bestFit="1" customWidth="1"/>
  </cols>
  <sheetData>
    <row r="1" spans="1:20" x14ac:dyDescent="0.3">
      <c r="A1" t="s">
        <v>0</v>
      </c>
      <c r="B1" t="s">
        <v>1253</v>
      </c>
      <c r="C1" t="s">
        <v>1</v>
      </c>
      <c r="D1" t="s">
        <v>2</v>
      </c>
      <c r="E1" t="s">
        <v>1266</v>
      </c>
      <c r="F1" t="s">
        <v>3</v>
      </c>
      <c r="G1" t="s">
        <v>4</v>
      </c>
      <c r="H1" t="s">
        <v>1264</v>
      </c>
      <c r="I1" t="s">
        <v>5</v>
      </c>
      <c r="J1" t="s">
        <v>1257</v>
      </c>
      <c r="K1" t="s">
        <v>6</v>
      </c>
      <c r="L1" t="s">
        <v>1269</v>
      </c>
      <c r="M1" t="s">
        <v>1270</v>
      </c>
      <c r="N1" t="s">
        <v>1271</v>
      </c>
      <c r="O1" t="s">
        <v>1272</v>
      </c>
      <c r="P1" t="s">
        <v>1275</v>
      </c>
      <c r="Q1" t="s">
        <v>1276</v>
      </c>
      <c r="R1" t="s">
        <v>1280</v>
      </c>
      <c r="S1" t="s">
        <v>1282</v>
      </c>
      <c r="T1" t="s">
        <v>1283</v>
      </c>
    </row>
    <row r="2" spans="1:20" x14ac:dyDescent="0.3">
      <c r="A2" t="s">
        <v>7</v>
      </c>
      <c r="B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2" t="s">
        <v>8</v>
      </c>
      <c r="D2" t="s">
        <v>9</v>
      </c>
      <c r="E2" t="str">
        <f t="shared" ref="E2:E65" si="0">IF(VALUE(SUBSTITUTE(D2,"$",""))&lt;=50,"$0-$50","Above $50")</f>
        <v>Above $50</v>
      </c>
      <c r="F2">
        <v>6.7999999999999996E-3</v>
      </c>
      <c r="G2" t="s">
        <v>11</v>
      </c>
      <c r="H2">
        <f t="shared" ref="H2:H33" si="1">_xlfn.NUMBERVALUE(SUBSTITUTE(SUBSTITUTE(G2,"$",""),",",""))</f>
        <v>2236591973065</v>
      </c>
      <c r="I2" t="s">
        <v>12</v>
      </c>
      <c r="J2">
        <v>61196410006</v>
      </c>
      <c r="K2" t="s">
        <v>13</v>
      </c>
      <c r="L2">
        <f>_xlfn.NUMBERVALUE(SUBSTITUTE(SUBSTITUTE(Crypto_Data__2[[#This Row],[Price (USD)]],"$",""),",",""))</f>
        <v>112396.23</v>
      </c>
      <c r="M2">
        <f t="shared" ref="M2:M33" si="2">L2/(1+F2)</f>
        <v>111637.09773539929</v>
      </c>
      <c r="N2">
        <f t="shared" ref="N2:N33" si="3">L2-M2</f>
        <v>759.13226460070291</v>
      </c>
      <c r="O2" t="str">
        <f t="shared" ref="O2:O33" si="4">IF(L2&lt;10,"Up to $10","&gt;= $10")</f>
        <v>&gt;= $10</v>
      </c>
      <c r="P2">
        <f t="shared" ref="P2:P33" si="5">L2/(1-F2)</f>
        <v>113165.75714861054</v>
      </c>
      <c r="Q2">
        <f t="shared" ref="Q2:Q33" si="6">L2*(1+F2)</f>
        <v>113160.52436399998</v>
      </c>
      <c r="R2" t="str">
        <f t="shared" ref="R2:R33" si="7">IF(L2&lt;=5,"$0-$5","Above $5")</f>
        <v>Above $5</v>
      </c>
      <c r="S2" t="str">
        <f t="shared" ref="S2:S33" si="8">IF(L2&lt;=0.05,"$0-$0.05",
IF(L2&lt;=0.5,"$0.05-$0.5",
IF(L2&lt;=5,"$0.5-$5",
IF(L2&lt;=50,"$5-$50","&gt;$50"))))</f>
        <v>&gt;$50</v>
      </c>
      <c r="T2">
        <f t="shared" ref="T2:T33" si="9">ABS(F2)</f>
        <v>6.7999999999999996E-3</v>
      </c>
    </row>
    <row r="3" spans="1:20" x14ac:dyDescent="0.3">
      <c r="A3" t="s">
        <v>14</v>
      </c>
      <c r="B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3" t="s">
        <v>15</v>
      </c>
      <c r="D3" t="s">
        <v>16</v>
      </c>
      <c r="E3" t="str">
        <f t="shared" si="0"/>
        <v>Above $50</v>
      </c>
      <c r="F3">
        <v>4.3E-3</v>
      </c>
      <c r="G3" t="s">
        <v>18</v>
      </c>
      <c r="H3">
        <f t="shared" si="1"/>
        <v>558774287294</v>
      </c>
      <c r="I3" t="s">
        <v>19</v>
      </c>
      <c r="J3">
        <v>43714609700</v>
      </c>
      <c r="K3" t="s">
        <v>20</v>
      </c>
      <c r="L3">
        <f>_xlfn.NUMBERVALUE(SUBSTITUTE(SUBSTITUTE(Crypto_Data__2[[#This Row],[Price (USD)]],"$",""),",",""))</f>
        <v>4631.6899999999996</v>
      </c>
      <c r="M3">
        <f t="shared" si="2"/>
        <v>4611.8590062730254</v>
      </c>
      <c r="N3">
        <f t="shared" si="3"/>
        <v>19.830993726974157</v>
      </c>
      <c r="O3" t="str">
        <f t="shared" si="4"/>
        <v>&gt;= $10</v>
      </c>
      <c r="P3">
        <f t="shared" si="5"/>
        <v>4651.692276790197</v>
      </c>
      <c r="Q3">
        <f t="shared" si="6"/>
        <v>4651.6062669999992</v>
      </c>
      <c r="R3" t="str">
        <f t="shared" si="7"/>
        <v>Above $5</v>
      </c>
      <c r="S3" t="str">
        <f t="shared" si="8"/>
        <v>&gt;$50</v>
      </c>
      <c r="T3">
        <f t="shared" si="9"/>
        <v>4.3E-3</v>
      </c>
    </row>
    <row r="4" spans="1:20" x14ac:dyDescent="0.3">
      <c r="A4" t="s">
        <v>21</v>
      </c>
      <c r="B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4" t="s">
        <v>21</v>
      </c>
      <c r="D4" t="s">
        <v>22</v>
      </c>
      <c r="E4" t="str">
        <f t="shared" si="0"/>
        <v>$0-$50</v>
      </c>
      <c r="F4">
        <v>4.4999999999999997E-3</v>
      </c>
      <c r="G4" t="s">
        <v>24</v>
      </c>
      <c r="H4">
        <f t="shared" si="1"/>
        <v>179761935139</v>
      </c>
      <c r="I4" t="s">
        <v>25</v>
      </c>
      <c r="J4">
        <v>6447508710</v>
      </c>
      <c r="K4" t="s">
        <v>26</v>
      </c>
      <c r="L4">
        <f>_xlfn.NUMBERVALUE(SUBSTITUTE(SUBSTITUTE(Crypto_Data__2[[#This Row],[Price (USD)]],"$",""),",",""))</f>
        <v>3.02</v>
      </c>
      <c r="M4">
        <f t="shared" si="2"/>
        <v>3.0064708810353413</v>
      </c>
      <c r="N4">
        <f t="shared" si="3"/>
        <v>1.3529118964658693E-2</v>
      </c>
      <c r="O4" t="str">
        <f t="shared" si="4"/>
        <v>Up to $10</v>
      </c>
      <c r="P4">
        <f t="shared" si="5"/>
        <v>3.0336514314414864</v>
      </c>
      <c r="Q4">
        <f t="shared" si="6"/>
        <v>3.0335899999999998</v>
      </c>
      <c r="R4" t="str">
        <f t="shared" si="7"/>
        <v>$0-$5</v>
      </c>
      <c r="S4" t="str">
        <f t="shared" si="8"/>
        <v>$0.5-$5</v>
      </c>
      <c r="T4">
        <f t="shared" si="9"/>
        <v>4.4999999999999997E-3</v>
      </c>
    </row>
    <row r="5" spans="1:20" x14ac:dyDescent="0.3">
      <c r="A5" t="s">
        <v>27</v>
      </c>
      <c r="B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5" t="s">
        <v>28</v>
      </c>
      <c r="D5" t="s">
        <v>29</v>
      </c>
      <c r="E5" t="str">
        <f t="shared" si="0"/>
        <v>$0-$50</v>
      </c>
      <c r="F5">
        <v>6.9999999999999999E-4</v>
      </c>
      <c r="G5" t="s">
        <v>31</v>
      </c>
      <c r="H5">
        <f t="shared" si="1"/>
        <v>167211922205</v>
      </c>
      <c r="I5" t="s">
        <v>32</v>
      </c>
      <c r="J5">
        <v>117252093277</v>
      </c>
      <c r="K5" t="s">
        <v>33</v>
      </c>
      <c r="L5">
        <f>_xlfn.NUMBERVALUE(SUBSTITUTE(SUBSTITUTE(Crypto_Data__2[[#This Row],[Price (USD)]],"$",""),",",""))</f>
        <v>1</v>
      </c>
      <c r="M5">
        <f t="shared" si="2"/>
        <v>0.99930048965724005</v>
      </c>
      <c r="N5">
        <f t="shared" si="3"/>
        <v>6.9951034275994584E-4</v>
      </c>
      <c r="O5" t="str">
        <f t="shared" si="4"/>
        <v>Up to $10</v>
      </c>
      <c r="P5">
        <f t="shared" si="5"/>
        <v>1.0007004903432404</v>
      </c>
      <c r="Q5">
        <f t="shared" si="6"/>
        <v>1.0006999999999999</v>
      </c>
      <c r="R5" t="str">
        <f t="shared" si="7"/>
        <v>$0-$5</v>
      </c>
      <c r="S5" t="str">
        <f t="shared" si="8"/>
        <v>$0.5-$5</v>
      </c>
      <c r="T5">
        <f t="shared" si="9"/>
        <v>6.9999999999999999E-4</v>
      </c>
    </row>
    <row r="6" spans="1:20" x14ac:dyDescent="0.3">
      <c r="A6" t="s">
        <v>34</v>
      </c>
      <c r="B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6" t="s">
        <v>34</v>
      </c>
      <c r="D6" t="s">
        <v>35</v>
      </c>
      <c r="E6" t="str">
        <f t="shared" si="0"/>
        <v>Above $50</v>
      </c>
      <c r="F6">
        <v>2.3999999999999998E-3</v>
      </c>
      <c r="G6" t="s">
        <v>37</v>
      </c>
      <c r="H6">
        <f t="shared" si="1"/>
        <v>120460279991</v>
      </c>
      <c r="I6" t="s">
        <v>38</v>
      </c>
      <c r="J6">
        <v>2278674127</v>
      </c>
      <c r="K6" t="s">
        <v>39</v>
      </c>
      <c r="L6">
        <f>_xlfn.NUMBERVALUE(SUBSTITUTE(SUBSTITUTE(Crypto_Data__2[[#This Row],[Price (USD)]],"$",""),",",""))</f>
        <v>864.91</v>
      </c>
      <c r="M6">
        <f t="shared" si="2"/>
        <v>862.83918595371108</v>
      </c>
      <c r="N6">
        <f t="shared" si="3"/>
        <v>2.0708140462888878</v>
      </c>
      <c r="O6" t="str">
        <f t="shared" si="4"/>
        <v>&gt;= $10</v>
      </c>
      <c r="P6">
        <f t="shared" si="5"/>
        <v>866.99077786688042</v>
      </c>
      <c r="Q6">
        <f t="shared" si="6"/>
        <v>866.98578399999997</v>
      </c>
      <c r="R6" t="str">
        <f t="shared" si="7"/>
        <v>Above $5</v>
      </c>
      <c r="S6" t="str">
        <f t="shared" si="8"/>
        <v>&gt;$50</v>
      </c>
      <c r="T6">
        <f t="shared" si="9"/>
        <v>2.3999999999999998E-3</v>
      </c>
    </row>
    <row r="7" spans="1:20" x14ac:dyDescent="0.3">
      <c r="A7" t="s">
        <v>40</v>
      </c>
      <c r="B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7" t="s">
        <v>41</v>
      </c>
      <c r="D7" t="s">
        <v>42</v>
      </c>
      <c r="E7" t="str">
        <f t="shared" si="0"/>
        <v>Above $50</v>
      </c>
      <c r="F7">
        <v>7.7999999999999996E-3</v>
      </c>
      <c r="G7" t="s">
        <v>44</v>
      </c>
      <c r="H7">
        <f t="shared" si="1"/>
        <v>112989075044</v>
      </c>
      <c r="I7" t="s">
        <v>45</v>
      </c>
      <c r="J7">
        <v>10127054144</v>
      </c>
      <c r="K7" t="s">
        <v>46</v>
      </c>
      <c r="L7">
        <f>_xlfn.NUMBERVALUE(SUBSTITUTE(SUBSTITUTE(Crypto_Data__2[[#This Row],[Price (USD)]],"$",""),",",""))</f>
        <v>208.97</v>
      </c>
      <c r="M7">
        <f t="shared" si="2"/>
        <v>207.35264933518553</v>
      </c>
      <c r="N7">
        <f t="shared" si="3"/>
        <v>1.6173506648144667</v>
      </c>
      <c r="O7" t="str">
        <f t="shared" si="4"/>
        <v>&gt;= $10</v>
      </c>
      <c r="P7">
        <f t="shared" si="5"/>
        <v>210.61277968151583</v>
      </c>
      <c r="Q7">
        <f t="shared" si="6"/>
        <v>210.59996599999999</v>
      </c>
      <c r="R7" t="str">
        <f t="shared" si="7"/>
        <v>Above $5</v>
      </c>
      <c r="S7" t="str">
        <f t="shared" si="8"/>
        <v>&gt;$50</v>
      </c>
      <c r="T7">
        <f t="shared" si="9"/>
        <v>7.7999999999999996E-3</v>
      </c>
    </row>
    <row r="8" spans="1:20" x14ac:dyDescent="0.3">
      <c r="A8" t="s">
        <v>47</v>
      </c>
      <c r="B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8" t="s">
        <v>47</v>
      </c>
      <c r="D8" t="s">
        <v>48</v>
      </c>
      <c r="E8" t="str">
        <f t="shared" si="0"/>
        <v>$0-$50</v>
      </c>
      <c r="F8">
        <v>5.9999999999999995E-4</v>
      </c>
      <c r="G8" t="s">
        <v>50</v>
      </c>
      <c r="H8">
        <f t="shared" si="1"/>
        <v>69140705171</v>
      </c>
      <c r="I8" t="s">
        <v>51</v>
      </c>
      <c r="J8">
        <v>17027792821</v>
      </c>
      <c r="K8" t="s">
        <v>52</v>
      </c>
      <c r="L8">
        <f>_xlfn.NUMBERVALUE(SUBSTITUTE(SUBSTITUTE(Crypto_Data__2[[#This Row],[Price (USD)]],"$",""),",",""))</f>
        <v>0.99970000000000003</v>
      </c>
      <c r="M8">
        <f t="shared" si="2"/>
        <v>0.99910053967619439</v>
      </c>
      <c r="N8">
        <f t="shared" si="3"/>
        <v>5.9946032380564507E-4</v>
      </c>
      <c r="O8" t="str">
        <f t="shared" si="4"/>
        <v>Up to $10</v>
      </c>
      <c r="P8">
        <f t="shared" si="5"/>
        <v>1.0003001801080649</v>
      </c>
      <c r="Q8">
        <f t="shared" si="6"/>
        <v>1.00029982</v>
      </c>
      <c r="R8" t="str">
        <f t="shared" si="7"/>
        <v>$0-$5</v>
      </c>
      <c r="S8" t="str">
        <f t="shared" si="8"/>
        <v>$0.5-$5</v>
      </c>
      <c r="T8">
        <f t="shared" si="9"/>
        <v>5.9999999999999995E-4</v>
      </c>
    </row>
    <row r="9" spans="1:20" x14ac:dyDescent="0.3">
      <c r="A9" t="s">
        <v>53</v>
      </c>
      <c r="B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9" t="s">
        <v>54</v>
      </c>
      <c r="D9" t="s">
        <v>55</v>
      </c>
      <c r="E9" t="str">
        <f t="shared" si="0"/>
        <v>$0-$50</v>
      </c>
      <c r="F9">
        <v>6.7000000000000002E-3</v>
      </c>
      <c r="G9" t="s">
        <v>57</v>
      </c>
      <c r="H9">
        <f t="shared" si="1"/>
        <v>33418883909</v>
      </c>
      <c r="I9" t="s">
        <v>58</v>
      </c>
      <c r="J9">
        <v>1961967012</v>
      </c>
      <c r="K9" t="s">
        <v>59</v>
      </c>
      <c r="L9">
        <f>_xlfn.NUMBERVALUE(SUBSTITUTE(SUBSTITUTE(Crypto_Data__2[[#This Row],[Price (USD)]],"$",""),",",""))</f>
        <v>0.22170000000000001</v>
      </c>
      <c r="M9">
        <f t="shared" si="2"/>
        <v>0.22022449587761997</v>
      </c>
      <c r="N9">
        <f t="shared" si="3"/>
        <v>1.4755041223800391E-3</v>
      </c>
      <c r="O9" t="str">
        <f t="shared" si="4"/>
        <v>Up to $10</v>
      </c>
      <c r="P9">
        <f t="shared" si="5"/>
        <v>0.22319540924192088</v>
      </c>
      <c r="Q9">
        <f t="shared" si="6"/>
        <v>0.22318538999999998</v>
      </c>
      <c r="R9" t="str">
        <f t="shared" si="7"/>
        <v>$0-$5</v>
      </c>
      <c r="S9" t="str">
        <f t="shared" si="8"/>
        <v>$0.05-$0.5</v>
      </c>
      <c r="T9">
        <f t="shared" si="9"/>
        <v>6.7000000000000002E-3</v>
      </c>
    </row>
    <row r="10" spans="1:20" x14ac:dyDescent="0.3">
      <c r="A10" t="s">
        <v>60</v>
      </c>
      <c r="B1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0" t="s">
        <v>61</v>
      </c>
      <c r="D10" t="s">
        <v>62</v>
      </c>
      <c r="E10" t="str">
        <f t="shared" si="0"/>
        <v>$0-$50</v>
      </c>
      <c r="F10">
        <v>1E-3</v>
      </c>
      <c r="G10" t="s">
        <v>64</v>
      </c>
      <c r="H10">
        <f t="shared" si="1"/>
        <v>33151724508</v>
      </c>
      <c r="I10" t="s">
        <v>65</v>
      </c>
      <c r="J10">
        <v>973139421</v>
      </c>
      <c r="K10" t="s">
        <v>66</v>
      </c>
      <c r="L10">
        <f>_xlfn.NUMBERVALUE(SUBSTITUTE(SUBSTITUTE(Crypto_Data__2[[#This Row],[Price (USD)]],"$",""),",",""))</f>
        <v>0.35020000000000001</v>
      </c>
      <c r="M10">
        <f t="shared" si="2"/>
        <v>0.34985014985014989</v>
      </c>
      <c r="N10">
        <f t="shared" si="3"/>
        <v>3.498501498501172E-4</v>
      </c>
      <c r="O10" t="str">
        <f t="shared" si="4"/>
        <v>Up to $10</v>
      </c>
      <c r="P10">
        <f t="shared" si="5"/>
        <v>0.35055055055055057</v>
      </c>
      <c r="Q10">
        <f t="shared" si="6"/>
        <v>0.35055019999999998</v>
      </c>
      <c r="R10" t="str">
        <f t="shared" si="7"/>
        <v>$0-$5</v>
      </c>
      <c r="S10" t="str">
        <f t="shared" si="8"/>
        <v>$0.05-$0.5</v>
      </c>
      <c r="T10">
        <f t="shared" si="9"/>
        <v>1E-3</v>
      </c>
    </row>
    <row r="11" spans="1:20" x14ac:dyDescent="0.3">
      <c r="A11" t="s">
        <v>67</v>
      </c>
      <c r="B1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1" t="s">
        <v>68</v>
      </c>
      <c r="D11" t="s">
        <v>69</v>
      </c>
      <c r="E11" t="str">
        <f t="shared" si="0"/>
        <v>$0-$50</v>
      </c>
      <c r="F11">
        <v>3.2000000000000002E-3</v>
      </c>
      <c r="G11" t="s">
        <v>71</v>
      </c>
      <c r="H11">
        <f t="shared" si="1"/>
        <v>31055700401</v>
      </c>
      <c r="I11" t="s">
        <v>72</v>
      </c>
      <c r="J11">
        <v>1153461846</v>
      </c>
      <c r="K11" t="s">
        <v>73</v>
      </c>
      <c r="L11">
        <f>_xlfn.NUMBERVALUE(SUBSTITUTE(SUBSTITUTE(Crypto_Data__2[[#This Row],[Price (USD)]],"$",""),",",""))</f>
        <v>0.86929999999999996</v>
      </c>
      <c r="M11">
        <f t="shared" si="2"/>
        <v>0.86652711323763942</v>
      </c>
      <c r="N11">
        <f t="shared" si="3"/>
        <v>2.772886762360538E-3</v>
      </c>
      <c r="O11" t="str">
        <f t="shared" si="4"/>
        <v>Up to $10</v>
      </c>
      <c r="P11">
        <f t="shared" si="5"/>
        <v>0.8720906902086677</v>
      </c>
      <c r="Q11">
        <f t="shared" si="6"/>
        <v>0.87208176000000004</v>
      </c>
      <c r="R11" t="str">
        <f t="shared" si="7"/>
        <v>$0-$5</v>
      </c>
      <c r="S11" t="str">
        <f t="shared" si="8"/>
        <v>$0.5-$5</v>
      </c>
      <c r="T11">
        <f t="shared" si="9"/>
        <v>3.2000000000000002E-3</v>
      </c>
    </row>
    <row r="12" spans="1:20" x14ac:dyDescent="0.3">
      <c r="A12" t="s">
        <v>74</v>
      </c>
      <c r="B1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2" t="s">
        <v>75</v>
      </c>
      <c r="D12" t="s">
        <v>76</v>
      </c>
      <c r="E12" t="str">
        <f t="shared" si="0"/>
        <v>$0-$50</v>
      </c>
      <c r="F12">
        <v>1E-4</v>
      </c>
      <c r="G12" t="s">
        <v>78</v>
      </c>
      <c r="H12">
        <f t="shared" si="1"/>
        <v>687657857</v>
      </c>
      <c r="I12" t="s">
        <v>79</v>
      </c>
      <c r="J12">
        <v>64711407</v>
      </c>
      <c r="K12" t="s">
        <v>80</v>
      </c>
      <c r="L12">
        <f>_xlfn.NUMBERVALUE(SUBSTITUTE(SUBSTITUTE(Crypto_Data__2[[#This Row],[Price (USD)]],"$",""),",",""))</f>
        <v>0.99950000000000006</v>
      </c>
      <c r="M12">
        <f t="shared" si="2"/>
        <v>0.99940005999400061</v>
      </c>
      <c r="N12">
        <f t="shared" si="3"/>
        <v>9.9940005999443748E-5</v>
      </c>
      <c r="O12" t="str">
        <f t="shared" si="4"/>
        <v>Up to $10</v>
      </c>
      <c r="P12">
        <f t="shared" si="5"/>
        <v>0.9995999599959996</v>
      </c>
      <c r="Q12">
        <f t="shared" si="6"/>
        <v>0.99959995000000001</v>
      </c>
      <c r="R12" t="str">
        <f t="shared" si="7"/>
        <v>$0-$5</v>
      </c>
      <c r="S12" t="str">
        <f t="shared" si="8"/>
        <v>$0.5-$5</v>
      </c>
      <c r="T12">
        <f t="shared" si="9"/>
        <v>1E-4</v>
      </c>
    </row>
    <row r="13" spans="1:20" x14ac:dyDescent="0.3">
      <c r="A13" t="s">
        <v>81</v>
      </c>
      <c r="B1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3" t="s">
        <v>82</v>
      </c>
      <c r="D13" t="s">
        <v>83</v>
      </c>
      <c r="E13" t="str">
        <f t="shared" si="0"/>
        <v>$0-$50</v>
      </c>
      <c r="F13">
        <v>8.0000000000000002E-3</v>
      </c>
      <c r="G13" t="s">
        <v>85</v>
      </c>
      <c r="H13">
        <f t="shared" si="1"/>
        <v>687228061</v>
      </c>
      <c r="I13" t="s">
        <v>86</v>
      </c>
      <c r="J13">
        <v>71132312</v>
      </c>
      <c r="K13" t="s">
        <v>87</v>
      </c>
      <c r="L13">
        <f>_xlfn.NUMBERVALUE(SUBSTITUTE(SUBSTITUTE(Crypto_Data__2[[#This Row],[Price (USD)]],"$",""),",",""))</f>
        <v>42.45</v>
      </c>
      <c r="M13">
        <f t="shared" si="2"/>
        <v>42.113095238095241</v>
      </c>
      <c r="N13">
        <f t="shared" si="3"/>
        <v>0.33690476190476204</v>
      </c>
      <c r="O13" t="str">
        <f t="shared" si="4"/>
        <v>&gt;= $10</v>
      </c>
      <c r="P13">
        <f t="shared" si="5"/>
        <v>42.792338709677423</v>
      </c>
      <c r="Q13">
        <f t="shared" si="6"/>
        <v>42.7896</v>
      </c>
      <c r="R13" t="str">
        <f t="shared" si="7"/>
        <v>Above $5</v>
      </c>
      <c r="S13" t="str">
        <f t="shared" si="8"/>
        <v>$5-$50</v>
      </c>
      <c r="T13">
        <f t="shared" si="9"/>
        <v>8.0000000000000002E-3</v>
      </c>
    </row>
    <row r="14" spans="1:20" x14ac:dyDescent="0.3">
      <c r="A14" t="s">
        <v>88</v>
      </c>
      <c r="B1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4" t="s">
        <v>88</v>
      </c>
      <c r="D14" t="s">
        <v>89</v>
      </c>
      <c r="E14" t="str">
        <f t="shared" si="0"/>
        <v>$0-$50</v>
      </c>
      <c r="F14">
        <v>3.0000000000000001E-3</v>
      </c>
      <c r="G14" t="s">
        <v>91</v>
      </c>
      <c r="H14">
        <f t="shared" si="1"/>
        <v>683949558</v>
      </c>
      <c r="I14" t="s">
        <v>92</v>
      </c>
      <c r="J14">
        <v>29038108</v>
      </c>
      <c r="K14" t="s">
        <v>93</v>
      </c>
      <c r="L14">
        <f>_xlfn.NUMBERVALUE(SUBSTITUTE(SUBSTITUTE(Crypto_Data__2[[#This Row],[Price (USD)]],"$",""),",",""))</f>
        <v>9.1809999999999999E-3</v>
      </c>
      <c r="M14">
        <f t="shared" si="2"/>
        <v>9.1535393818544374E-3</v>
      </c>
      <c r="N14">
        <f t="shared" si="3"/>
        <v>2.7460618145562499E-5</v>
      </c>
      <c r="O14" t="str">
        <f t="shared" si="4"/>
        <v>Up to $10</v>
      </c>
      <c r="P14">
        <f t="shared" si="5"/>
        <v>9.2086258776328984E-3</v>
      </c>
      <c r="Q14">
        <f t="shared" si="6"/>
        <v>9.2085429999999996E-3</v>
      </c>
      <c r="R14" t="str">
        <f t="shared" si="7"/>
        <v>$0-$5</v>
      </c>
      <c r="S14" t="str">
        <f t="shared" si="8"/>
        <v>$0-$0.05</v>
      </c>
      <c r="T14">
        <f t="shared" si="9"/>
        <v>3.0000000000000001E-3</v>
      </c>
    </row>
    <row r="15" spans="1:20" x14ac:dyDescent="0.3">
      <c r="A15" t="s">
        <v>94</v>
      </c>
      <c r="B1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5" t="s">
        <v>95</v>
      </c>
      <c r="D15" t="s">
        <v>96</v>
      </c>
      <c r="E15" t="str">
        <f t="shared" si="0"/>
        <v>$0-$50</v>
      </c>
      <c r="F15">
        <v>5.1999999999999998E-3</v>
      </c>
      <c r="G15" t="s">
        <v>98</v>
      </c>
      <c r="H15">
        <f t="shared" si="1"/>
        <v>673440961</v>
      </c>
      <c r="I15" t="s">
        <v>99</v>
      </c>
      <c r="J15">
        <v>24411942</v>
      </c>
      <c r="K15" t="s">
        <v>100</v>
      </c>
      <c r="L15">
        <f>_xlfn.NUMBERVALUE(SUBSTITUTE(SUBSTITUTE(Crypto_Data__2[[#This Row],[Price (USD)]],"$",""),",",""))</f>
        <v>0.1171</v>
      </c>
      <c r="M15">
        <f t="shared" si="2"/>
        <v>0.11649423000397929</v>
      </c>
      <c r="N15">
        <f t="shared" si="3"/>
        <v>6.0576999602070247E-4</v>
      </c>
      <c r="O15" t="str">
        <f t="shared" si="4"/>
        <v>Up to $10</v>
      </c>
      <c r="P15">
        <f t="shared" si="5"/>
        <v>0.11771210293526337</v>
      </c>
      <c r="Q15">
        <f t="shared" si="6"/>
        <v>0.11770892000000001</v>
      </c>
      <c r="R15" t="str">
        <f t="shared" si="7"/>
        <v>$0-$5</v>
      </c>
      <c r="S15" t="str">
        <f t="shared" si="8"/>
        <v>$0.05-$0.5</v>
      </c>
      <c r="T15">
        <f t="shared" si="9"/>
        <v>5.1999999999999998E-3</v>
      </c>
    </row>
    <row r="16" spans="1:20" x14ac:dyDescent="0.3">
      <c r="A16" t="s">
        <v>101</v>
      </c>
      <c r="B1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6" t="s">
        <v>102</v>
      </c>
      <c r="D16" t="s">
        <v>103</v>
      </c>
      <c r="E16" t="str">
        <f t="shared" si="0"/>
        <v>$0-$50</v>
      </c>
      <c r="F16">
        <v>5.9999999999999995E-4</v>
      </c>
      <c r="G16" t="s">
        <v>104</v>
      </c>
      <c r="H16">
        <f t="shared" si="1"/>
        <v>656968217</v>
      </c>
      <c r="I16" t="s">
        <v>105</v>
      </c>
      <c r="J16">
        <v>29706225</v>
      </c>
      <c r="K16" t="s">
        <v>106</v>
      </c>
      <c r="L16">
        <f>_xlfn.NUMBERVALUE(SUBSTITUTE(SUBSTITUTE(Crypto_Data__2[[#This Row],[Price (USD)]],"$",""),",",""))</f>
        <v>6.6661999999999999E-2</v>
      </c>
      <c r="M16">
        <f t="shared" si="2"/>
        <v>6.6622026783929644E-2</v>
      </c>
      <c r="N16">
        <f t="shared" si="3"/>
        <v>3.9973216070354756E-5</v>
      </c>
      <c r="O16" t="str">
        <f t="shared" si="4"/>
        <v>Up to $10</v>
      </c>
      <c r="P16">
        <f t="shared" si="5"/>
        <v>6.6702021212727641E-2</v>
      </c>
      <c r="Q16">
        <f t="shared" si="6"/>
        <v>6.6701997199999988E-2</v>
      </c>
      <c r="R16" t="str">
        <f t="shared" si="7"/>
        <v>$0-$5</v>
      </c>
      <c r="S16" t="str">
        <f t="shared" si="8"/>
        <v>$0.05-$0.5</v>
      </c>
      <c r="T16">
        <f t="shared" si="9"/>
        <v>5.9999999999999995E-4</v>
      </c>
    </row>
    <row r="17" spans="1:20" x14ac:dyDescent="0.3">
      <c r="A17" t="s">
        <v>107</v>
      </c>
      <c r="B1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7" t="s">
        <v>108</v>
      </c>
      <c r="D17" t="s">
        <v>109</v>
      </c>
      <c r="E17" t="str">
        <f t="shared" si="0"/>
        <v>$0-$50</v>
      </c>
      <c r="F17">
        <v>1.5E-3</v>
      </c>
      <c r="G17" t="s">
        <v>111</v>
      </c>
      <c r="H17">
        <f t="shared" si="1"/>
        <v>626962319</v>
      </c>
      <c r="I17" t="s">
        <v>112</v>
      </c>
      <c r="J17">
        <v>21684159</v>
      </c>
      <c r="K17" t="s">
        <v>113</v>
      </c>
      <c r="L17">
        <f>_xlfn.NUMBERVALUE(SUBSTITUTE(SUBSTITUTE(Crypto_Data__2[[#This Row],[Price (USD)]],"$",""),",",""))</f>
        <v>0.39090000000000003</v>
      </c>
      <c r="M17">
        <f t="shared" si="2"/>
        <v>0.39031452820768847</v>
      </c>
      <c r="N17">
        <f t="shared" si="3"/>
        <v>5.8547179231155377E-4</v>
      </c>
      <c r="O17" t="str">
        <f t="shared" si="4"/>
        <v>Up to $10</v>
      </c>
      <c r="P17">
        <f t="shared" si="5"/>
        <v>0.39148723084626941</v>
      </c>
      <c r="Q17">
        <f t="shared" si="6"/>
        <v>0.39148635000000004</v>
      </c>
      <c r="R17" t="str">
        <f t="shared" si="7"/>
        <v>$0-$5</v>
      </c>
      <c r="S17" t="str">
        <f t="shared" si="8"/>
        <v>$0.05-$0.5</v>
      </c>
      <c r="T17">
        <f t="shared" si="9"/>
        <v>1.5E-3</v>
      </c>
    </row>
    <row r="18" spans="1:20" x14ac:dyDescent="0.3">
      <c r="A18" t="s">
        <v>114</v>
      </c>
      <c r="B1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8" t="s">
        <v>115</v>
      </c>
      <c r="D18" t="s">
        <v>116</v>
      </c>
      <c r="E18" t="str">
        <f t="shared" si="0"/>
        <v>$0-$50</v>
      </c>
      <c r="F18">
        <v>3.0000000000000001E-3</v>
      </c>
      <c r="G18" t="s">
        <v>117</v>
      </c>
      <c r="H18">
        <f t="shared" si="1"/>
        <v>621864440</v>
      </c>
      <c r="I18" t="s">
        <v>118</v>
      </c>
      <c r="J18">
        <v>7491105</v>
      </c>
      <c r="K18" t="s">
        <v>119</v>
      </c>
      <c r="L18">
        <f>_xlfn.NUMBERVALUE(SUBSTITUTE(SUBSTITUTE(Crypto_Data__2[[#This Row],[Price (USD)]],"$",""),",",""))</f>
        <v>7.42</v>
      </c>
      <c r="M18">
        <f t="shared" si="2"/>
        <v>7.397806580259223</v>
      </c>
      <c r="N18">
        <f t="shared" si="3"/>
        <v>2.2193419740776932E-2</v>
      </c>
      <c r="O18" t="str">
        <f t="shared" si="4"/>
        <v>Up to $10</v>
      </c>
      <c r="P18">
        <f t="shared" si="5"/>
        <v>7.4423269809428287</v>
      </c>
      <c r="Q18">
        <f t="shared" si="6"/>
        <v>7.4422599999999992</v>
      </c>
      <c r="R18" t="str">
        <f t="shared" si="7"/>
        <v>Above $5</v>
      </c>
      <c r="S18" t="str">
        <f t="shared" si="8"/>
        <v>$5-$50</v>
      </c>
      <c r="T18">
        <f t="shared" si="9"/>
        <v>3.0000000000000001E-3</v>
      </c>
    </row>
    <row r="19" spans="1:20" x14ac:dyDescent="0.3">
      <c r="A19" t="s">
        <v>120</v>
      </c>
      <c r="B1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9" t="s">
        <v>121</v>
      </c>
      <c r="D19" t="s">
        <v>122</v>
      </c>
      <c r="E19" t="str">
        <f t="shared" si="0"/>
        <v>$0-$50</v>
      </c>
      <c r="F19">
        <v>1.1000000000000001E-3</v>
      </c>
      <c r="G19" t="s">
        <v>124</v>
      </c>
      <c r="H19">
        <f t="shared" si="1"/>
        <v>577405381</v>
      </c>
      <c r="I19" t="s">
        <v>125</v>
      </c>
      <c r="J19">
        <v>23722335</v>
      </c>
      <c r="K19" t="s">
        <v>126</v>
      </c>
      <c r="L19">
        <f>_xlfn.NUMBERVALUE(SUBSTITUTE(SUBSTITUTE(Crypto_Data__2[[#This Row],[Price (USD)]],"$",""),",",""))</f>
        <v>0.57740000000000002</v>
      </c>
      <c r="M19">
        <f t="shared" si="2"/>
        <v>0.576765557886325</v>
      </c>
      <c r="N19">
        <f t="shared" si="3"/>
        <v>6.3444211367502668E-4</v>
      </c>
      <c r="O19" t="str">
        <f t="shared" si="4"/>
        <v>Up to $10</v>
      </c>
      <c r="P19">
        <f t="shared" si="5"/>
        <v>0.57803583942336567</v>
      </c>
      <c r="Q19">
        <f t="shared" si="6"/>
        <v>0.57803514000000011</v>
      </c>
      <c r="R19" t="str">
        <f t="shared" si="7"/>
        <v>$0-$5</v>
      </c>
      <c r="S19" t="str">
        <f t="shared" si="8"/>
        <v>$0.5-$5</v>
      </c>
      <c r="T19">
        <f t="shared" si="9"/>
        <v>1.1000000000000001E-3</v>
      </c>
    </row>
    <row r="20" spans="1:20" x14ac:dyDescent="0.3">
      <c r="A20" t="s">
        <v>127</v>
      </c>
      <c r="B2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20" t="s">
        <v>128</v>
      </c>
      <c r="D20" t="s">
        <v>129</v>
      </c>
      <c r="E20" t="str">
        <f t="shared" si="0"/>
        <v>$0-$50</v>
      </c>
      <c r="F20">
        <v>3.3E-3</v>
      </c>
      <c r="G20" t="s">
        <v>131</v>
      </c>
      <c r="H20">
        <f t="shared" si="1"/>
        <v>572387192</v>
      </c>
      <c r="I20" t="s">
        <v>132</v>
      </c>
      <c r="J20">
        <v>19083906</v>
      </c>
      <c r="K20" t="s">
        <v>133</v>
      </c>
      <c r="L20">
        <f>_xlfn.NUMBERVALUE(SUBSTITUTE(SUBSTITUTE(Crypto_Data__2[[#This Row],[Price (USD)]],"$",""),",",""))</f>
        <v>0.40489999999999998</v>
      </c>
      <c r="M20">
        <f t="shared" si="2"/>
        <v>0.40356822485796867</v>
      </c>
      <c r="N20">
        <f t="shared" si="3"/>
        <v>1.3317751420313106E-3</v>
      </c>
      <c r="O20" t="str">
        <f t="shared" si="4"/>
        <v>Up to $10</v>
      </c>
      <c r="P20">
        <f t="shared" si="5"/>
        <v>0.40624059396006817</v>
      </c>
      <c r="Q20">
        <f t="shared" si="6"/>
        <v>0.40623617000000001</v>
      </c>
      <c r="R20" t="str">
        <f t="shared" si="7"/>
        <v>$0-$5</v>
      </c>
      <c r="S20" t="str">
        <f t="shared" si="8"/>
        <v>$0.05-$0.5</v>
      </c>
      <c r="T20">
        <f t="shared" si="9"/>
        <v>3.3E-3</v>
      </c>
    </row>
    <row r="21" spans="1:20" x14ac:dyDescent="0.3">
      <c r="A21" t="s">
        <v>134</v>
      </c>
      <c r="B2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21" t="s">
        <v>135</v>
      </c>
      <c r="D21" t="s">
        <v>136</v>
      </c>
      <c r="E21" t="str">
        <f t="shared" si="0"/>
        <v>$0-$50</v>
      </c>
      <c r="F21">
        <v>3.8999999999999998E-3</v>
      </c>
      <c r="G21" t="s">
        <v>138</v>
      </c>
      <c r="H21">
        <f t="shared" si="1"/>
        <v>567782071</v>
      </c>
      <c r="I21" t="s">
        <v>139</v>
      </c>
      <c r="J21">
        <v>27296450</v>
      </c>
      <c r="K21" t="s">
        <v>140</v>
      </c>
      <c r="L21">
        <f>_xlfn.NUMBERVALUE(SUBSTITUTE(SUBSTITUTE(Crypto_Data__2[[#This Row],[Price (USD)]],"$",""),",",""))</f>
        <v>0.28820000000000001</v>
      </c>
      <c r="M21">
        <f t="shared" si="2"/>
        <v>0.28708038649267859</v>
      </c>
      <c r="N21">
        <f t="shared" si="3"/>
        <v>1.1196135073214264E-3</v>
      </c>
      <c r="O21" t="str">
        <f t="shared" si="4"/>
        <v>Up to $10</v>
      </c>
      <c r="P21">
        <f t="shared" si="5"/>
        <v>0.28932838068467021</v>
      </c>
      <c r="Q21">
        <f t="shared" si="6"/>
        <v>0.28932398000000004</v>
      </c>
      <c r="R21" t="str">
        <f t="shared" si="7"/>
        <v>$0-$5</v>
      </c>
      <c r="S21" t="str">
        <f t="shared" si="8"/>
        <v>$0.05-$0.5</v>
      </c>
      <c r="T21">
        <f t="shared" si="9"/>
        <v>3.8999999999999998E-3</v>
      </c>
    </row>
    <row r="22" spans="1:20" x14ac:dyDescent="0.3">
      <c r="A22" t="s">
        <v>141</v>
      </c>
      <c r="B2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22" t="s">
        <v>142</v>
      </c>
      <c r="D22" t="s">
        <v>143</v>
      </c>
      <c r="E22" t="str">
        <f t="shared" si="0"/>
        <v>$0-$50</v>
      </c>
      <c r="F22">
        <v>4.0000000000000002E-4</v>
      </c>
      <c r="G22" t="s">
        <v>145</v>
      </c>
      <c r="H22">
        <f t="shared" si="1"/>
        <v>1982420729</v>
      </c>
      <c r="I22" t="s">
        <v>146</v>
      </c>
      <c r="J22">
        <v>64466358</v>
      </c>
      <c r="K22" t="s">
        <v>147</v>
      </c>
      <c r="L22">
        <f>_xlfn.NUMBERVALUE(SUBSTITUTE(SUBSTITUTE(Crypto_Data__2[[#This Row],[Price (USD)]],"$",""),",",""))</f>
        <v>4.54</v>
      </c>
      <c r="M22">
        <f t="shared" si="2"/>
        <v>4.5381847261095567</v>
      </c>
      <c r="N22">
        <f t="shared" si="3"/>
        <v>1.8152738904433363E-3</v>
      </c>
      <c r="O22" t="str">
        <f t="shared" si="4"/>
        <v>Up to $10</v>
      </c>
      <c r="P22">
        <f t="shared" si="5"/>
        <v>4.5418167266906764</v>
      </c>
      <c r="Q22">
        <f t="shared" si="6"/>
        <v>4.5418159999999999</v>
      </c>
      <c r="R22" t="str">
        <f t="shared" si="7"/>
        <v>$0-$5</v>
      </c>
      <c r="S22" t="str">
        <f t="shared" si="8"/>
        <v>$0.5-$5</v>
      </c>
      <c r="T22">
        <f t="shared" si="9"/>
        <v>4.0000000000000002E-4</v>
      </c>
    </row>
    <row r="23" spans="1:20" x14ac:dyDescent="0.3">
      <c r="A23" t="s">
        <v>148</v>
      </c>
      <c r="B2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23" t="s">
        <v>149</v>
      </c>
      <c r="D23" t="s">
        <v>150</v>
      </c>
      <c r="E23" t="str">
        <f t="shared" si="0"/>
        <v>$0-$50</v>
      </c>
      <c r="F23">
        <v>4.7000000000000002E-3</v>
      </c>
      <c r="G23" t="s">
        <v>152</v>
      </c>
      <c r="H23">
        <f t="shared" si="1"/>
        <v>1955931785</v>
      </c>
      <c r="I23" t="s">
        <v>153</v>
      </c>
      <c r="J23">
        <v>26985300</v>
      </c>
      <c r="K23" t="s">
        <v>154</v>
      </c>
      <c r="L23">
        <f>_xlfn.NUMBERVALUE(SUBSTITUTE(SUBSTITUTE(Crypto_Data__2[[#This Row],[Price (USD)]],"$",""),",",""))</f>
        <v>5.48</v>
      </c>
      <c r="M23">
        <f t="shared" si="2"/>
        <v>5.4543644869115164</v>
      </c>
      <c r="N23">
        <f t="shared" si="3"/>
        <v>2.5635513088483997E-2</v>
      </c>
      <c r="O23" t="str">
        <f t="shared" si="4"/>
        <v>Up to $10</v>
      </c>
      <c r="P23">
        <f t="shared" si="5"/>
        <v>5.5058776248367334</v>
      </c>
      <c r="Q23">
        <f t="shared" si="6"/>
        <v>5.5057559999999999</v>
      </c>
      <c r="R23" t="str">
        <f t="shared" si="7"/>
        <v>Above $5</v>
      </c>
      <c r="S23" t="str">
        <f t="shared" si="8"/>
        <v>$5-$50</v>
      </c>
      <c r="T23">
        <f t="shared" si="9"/>
        <v>4.7000000000000002E-3</v>
      </c>
    </row>
    <row r="24" spans="1:20" x14ac:dyDescent="0.3">
      <c r="A24" t="s">
        <v>155</v>
      </c>
      <c r="B2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24" t="s">
        <v>156</v>
      </c>
      <c r="D24" t="s">
        <v>29</v>
      </c>
      <c r="E24" t="str">
        <f t="shared" si="0"/>
        <v>$0-$50</v>
      </c>
      <c r="F24">
        <v>2.0000000000000001E-4</v>
      </c>
      <c r="G24" t="s">
        <v>158</v>
      </c>
      <c r="H24">
        <f t="shared" si="1"/>
        <v>1253095193</v>
      </c>
      <c r="I24" t="s">
        <v>159</v>
      </c>
      <c r="J24">
        <v>30789467</v>
      </c>
      <c r="K24" t="s">
        <v>160</v>
      </c>
      <c r="L24">
        <f>_xlfn.NUMBERVALUE(SUBSTITUTE(SUBSTITUTE(Crypto_Data__2[[#This Row],[Price (USD)]],"$",""),",",""))</f>
        <v>1</v>
      </c>
      <c r="M24">
        <f t="shared" si="2"/>
        <v>0.99980003999200162</v>
      </c>
      <c r="N24">
        <f t="shared" si="3"/>
        <v>1.9996000799837876E-4</v>
      </c>
      <c r="O24" t="str">
        <f t="shared" si="4"/>
        <v>Up to $10</v>
      </c>
      <c r="P24">
        <f t="shared" si="5"/>
        <v>1.0002000400080016</v>
      </c>
      <c r="Q24">
        <f t="shared" si="6"/>
        <v>1.0002</v>
      </c>
      <c r="R24" t="str">
        <f t="shared" si="7"/>
        <v>$0-$5</v>
      </c>
      <c r="S24" t="str">
        <f t="shared" si="8"/>
        <v>$0.5-$5</v>
      </c>
      <c r="T24">
        <f t="shared" si="9"/>
        <v>2.0000000000000001E-4</v>
      </c>
    </row>
    <row r="25" spans="1:20" x14ac:dyDescent="0.3">
      <c r="A25" t="s">
        <v>161</v>
      </c>
      <c r="B2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25" t="s">
        <v>162</v>
      </c>
      <c r="D25" t="s">
        <v>163</v>
      </c>
      <c r="E25" t="str">
        <f t="shared" si="0"/>
        <v>$0-$50</v>
      </c>
      <c r="F25">
        <v>2.2000000000000001E-3</v>
      </c>
      <c r="G25" t="s">
        <v>165</v>
      </c>
      <c r="H25">
        <f t="shared" si="1"/>
        <v>738956737</v>
      </c>
      <c r="I25" t="s">
        <v>166</v>
      </c>
      <c r="J25">
        <v>8289454</v>
      </c>
      <c r="K25" t="s">
        <v>167</v>
      </c>
      <c r="L25">
        <f>_xlfn.NUMBERVALUE(SUBSTITUTE(SUBSTITUTE(Crypto_Data__2[[#This Row],[Price (USD)]],"$",""),",",""))</f>
        <v>2.3949999999999999E-2</v>
      </c>
      <c r="M25">
        <f t="shared" si="2"/>
        <v>2.3897425663540212E-2</v>
      </c>
      <c r="N25">
        <f t="shared" si="3"/>
        <v>5.2574336459786791E-5</v>
      </c>
      <c r="O25" t="str">
        <f t="shared" si="4"/>
        <v>Up to $10</v>
      </c>
      <c r="P25">
        <f t="shared" si="5"/>
        <v>2.400280617358188E-2</v>
      </c>
      <c r="Q25">
        <f t="shared" si="6"/>
        <v>2.400269E-2</v>
      </c>
      <c r="R25" t="str">
        <f t="shared" si="7"/>
        <v>$0-$5</v>
      </c>
      <c r="S25" t="str">
        <f t="shared" si="8"/>
        <v>$0-$0.05</v>
      </c>
      <c r="T25">
        <f t="shared" si="9"/>
        <v>2.2000000000000001E-3</v>
      </c>
    </row>
    <row r="26" spans="1:20" x14ac:dyDescent="0.3">
      <c r="A26" t="s">
        <v>168</v>
      </c>
      <c r="B2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26" t="s">
        <v>169</v>
      </c>
      <c r="D26" t="s">
        <v>170</v>
      </c>
      <c r="E26" t="str">
        <f t="shared" si="0"/>
        <v>$0-$50</v>
      </c>
      <c r="F26">
        <v>1.1000000000000001E-3</v>
      </c>
      <c r="G26" t="s">
        <v>171</v>
      </c>
      <c r="H26">
        <f t="shared" si="1"/>
        <v>691597867</v>
      </c>
      <c r="I26" t="s">
        <v>172</v>
      </c>
      <c r="J26">
        <v>1338625</v>
      </c>
      <c r="K26" t="s">
        <v>173</v>
      </c>
      <c r="L26">
        <f>_xlfn.NUMBERVALUE(SUBSTITUTE(SUBSTITUTE(Crypto_Data__2[[#This Row],[Price (USD)]],"$",""),",",""))</f>
        <v>1.1000000000000001</v>
      </c>
      <c r="M26">
        <f t="shared" si="2"/>
        <v>1.0987913295375087</v>
      </c>
      <c r="N26">
        <f t="shared" si="3"/>
        <v>1.2086704624914013E-3</v>
      </c>
      <c r="O26" t="str">
        <f t="shared" si="4"/>
        <v>Up to $10</v>
      </c>
      <c r="P26">
        <f t="shared" si="5"/>
        <v>1.1012113324657125</v>
      </c>
      <c r="Q26">
        <f t="shared" si="6"/>
        <v>1.1012100000000002</v>
      </c>
      <c r="R26" t="str">
        <f t="shared" si="7"/>
        <v>$0-$5</v>
      </c>
      <c r="S26" t="str">
        <f t="shared" si="8"/>
        <v>$0.5-$5</v>
      </c>
      <c r="T26">
        <f t="shared" si="9"/>
        <v>1.1000000000000001E-3</v>
      </c>
    </row>
    <row r="27" spans="1:20" x14ac:dyDescent="0.3">
      <c r="A27" t="s">
        <v>174</v>
      </c>
      <c r="B2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27" t="s">
        <v>175</v>
      </c>
      <c r="D27" t="s">
        <v>176</v>
      </c>
      <c r="E27" t="str">
        <f t="shared" si="0"/>
        <v>$0-$50</v>
      </c>
      <c r="F27">
        <v>0</v>
      </c>
      <c r="G27" t="s">
        <v>178</v>
      </c>
      <c r="H27">
        <f t="shared" si="1"/>
        <v>642088143</v>
      </c>
      <c r="I27" t="s">
        <v>179</v>
      </c>
      <c r="J27">
        <v>4463129</v>
      </c>
      <c r="K27" t="s">
        <v>180</v>
      </c>
      <c r="L27">
        <f>_xlfn.NUMBERVALUE(SUBSTITUTE(SUBSTITUTE(Crypto_Data__2[[#This Row],[Price (USD)]],"$",""),",",""))</f>
        <v>0.99829999999999997</v>
      </c>
      <c r="M27">
        <f t="shared" si="2"/>
        <v>0.99829999999999997</v>
      </c>
      <c r="N27">
        <f t="shared" si="3"/>
        <v>0</v>
      </c>
      <c r="O27" t="str">
        <f t="shared" si="4"/>
        <v>Up to $10</v>
      </c>
      <c r="P27">
        <f t="shared" si="5"/>
        <v>0.99829999999999997</v>
      </c>
      <c r="Q27">
        <f t="shared" si="6"/>
        <v>0.99829999999999997</v>
      </c>
      <c r="R27" t="str">
        <f t="shared" si="7"/>
        <v>$0-$5</v>
      </c>
      <c r="S27" t="str">
        <f t="shared" si="8"/>
        <v>$0.5-$5</v>
      </c>
      <c r="T27">
        <f t="shared" si="9"/>
        <v>0</v>
      </c>
    </row>
    <row r="28" spans="1:20" x14ac:dyDescent="0.3">
      <c r="A28" t="s">
        <v>181</v>
      </c>
      <c r="B2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28" t="s">
        <v>182</v>
      </c>
      <c r="D28" t="s">
        <v>183</v>
      </c>
      <c r="E28" t="str">
        <f t="shared" si="0"/>
        <v>$0-$50</v>
      </c>
      <c r="F28">
        <v>5.8999999999999999E-3</v>
      </c>
      <c r="G28" t="s">
        <v>185</v>
      </c>
      <c r="H28">
        <f t="shared" si="1"/>
        <v>607020903</v>
      </c>
      <c r="I28" t="s">
        <v>186</v>
      </c>
      <c r="J28">
        <v>1377265</v>
      </c>
      <c r="K28" t="s">
        <v>187</v>
      </c>
      <c r="L28">
        <f>_xlfn.NUMBERVALUE(SUBSTITUTE(SUBSTITUTE(Crypto_Data__2[[#This Row],[Price (USD)]],"$",""),",",""))</f>
        <v>0.17449999999999999</v>
      </c>
      <c r="M28">
        <f t="shared" si="2"/>
        <v>0.1734764887165722</v>
      </c>
      <c r="N28">
        <f t="shared" si="3"/>
        <v>1.023511283427786E-3</v>
      </c>
      <c r="O28" t="str">
        <f t="shared" si="4"/>
        <v>Up to $10</v>
      </c>
      <c r="P28">
        <f t="shared" si="5"/>
        <v>0.17553566039633839</v>
      </c>
      <c r="Q28">
        <f t="shared" si="6"/>
        <v>0.17552954999999998</v>
      </c>
      <c r="R28" t="str">
        <f t="shared" si="7"/>
        <v>$0-$5</v>
      </c>
      <c r="S28" t="str">
        <f t="shared" si="8"/>
        <v>$0.05-$0.5</v>
      </c>
      <c r="T28">
        <f t="shared" si="9"/>
        <v>5.8999999999999999E-3</v>
      </c>
    </row>
    <row r="29" spans="1:20" x14ac:dyDescent="0.3">
      <c r="A29" t="s">
        <v>188</v>
      </c>
      <c r="B2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29" t="s">
        <v>189</v>
      </c>
      <c r="D29" t="s">
        <v>190</v>
      </c>
      <c r="E29" t="str">
        <f t="shared" si="0"/>
        <v>$0-$50</v>
      </c>
      <c r="F29">
        <v>2.3E-3</v>
      </c>
      <c r="G29" t="s">
        <v>192</v>
      </c>
      <c r="H29">
        <f t="shared" si="1"/>
        <v>545355889</v>
      </c>
      <c r="I29" t="s">
        <v>193</v>
      </c>
      <c r="J29">
        <v>4396792</v>
      </c>
      <c r="K29" t="s">
        <v>194</v>
      </c>
      <c r="L29">
        <f>_xlfn.NUMBERVALUE(SUBSTITUTE(SUBSTITUTE(Crypto_Data__2[[#This Row],[Price (USD)]],"$",""),",",""))</f>
        <v>7.6289999999999997E-2</v>
      </c>
      <c r="M29">
        <f t="shared" si="2"/>
        <v>7.6114935648009571E-2</v>
      </c>
      <c r="N29">
        <f t="shared" si="3"/>
        <v>1.7506435199042547E-4</v>
      </c>
      <c r="O29" t="str">
        <f t="shared" si="4"/>
        <v>Up to $10</v>
      </c>
      <c r="P29">
        <f t="shared" si="5"/>
        <v>7.6465871504460256E-2</v>
      </c>
      <c r="Q29">
        <f t="shared" si="6"/>
        <v>7.6465466999999995E-2</v>
      </c>
      <c r="R29" t="str">
        <f t="shared" si="7"/>
        <v>$0-$5</v>
      </c>
      <c r="S29" t="str">
        <f t="shared" si="8"/>
        <v>$0.05-$0.5</v>
      </c>
      <c r="T29">
        <f t="shared" si="9"/>
        <v>2.3E-3</v>
      </c>
    </row>
    <row r="30" spans="1:20" x14ac:dyDescent="0.3">
      <c r="A30" t="s">
        <v>195</v>
      </c>
      <c r="B3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30" t="s">
        <v>196</v>
      </c>
      <c r="D30" t="s">
        <v>197</v>
      </c>
      <c r="E30" t="str">
        <f t="shared" si="0"/>
        <v>$0-$50</v>
      </c>
      <c r="F30">
        <v>2.9999999999999997E-4</v>
      </c>
      <c r="G30" t="s">
        <v>199</v>
      </c>
      <c r="H30">
        <f t="shared" si="1"/>
        <v>538269461</v>
      </c>
      <c r="I30" t="s">
        <v>200</v>
      </c>
      <c r="J30">
        <v>5715956</v>
      </c>
      <c r="K30" t="s">
        <v>201</v>
      </c>
      <c r="L30">
        <f>_xlfn.NUMBERVALUE(SUBSTITUTE(SUBSTITUTE(Crypto_Data__2[[#This Row],[Price (USD)]],"$",""),",",""))</f>
        <v>0.99980000000000002</v>
      </c>
      <c r="M30">
        <f t="shared" si="2"/>
        <v>0.99950014995501357</v>
      </c>
      <c r="N30">
        <f t="shared" si="3"/>
        <v>2.998500449864494E-4</v>
      </c>
      <c r="O30" t="str">
        <f t="shared" si="4"/>
        <v>Up to $10</v>
      </c>
      <c r="P30">
        <f t="shared" si="5"/>
        <v>1.0001000300090026</v>
      </c>
      <c r="Q30">
        <f t="shared" si="6"/>
        <v>1.0000999399999999</v>
      </c>
      <c r="R30" t="str">
        <f t="shared" si="7"/>
        <v>$0-$5</v>
      </c>
      <c r="S30" t="str">
        <f t="shared" si="8"/>
        <v>$0.5-$5</v>
      </c>
      <c r="T30">
        <f t="shared" si="9"/>
        <v>2.9999999999999997E-4</v>
      </c>
    </row>
    <row r="31" spans="1:20" x14ac:dyDescent="0.3">
      <c r="A31" t="s">
        <v>202</v>
      </c>
      <c r="B3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31" t="s">
        <v>203</v>
      </c>
      <c r="D31" t="s">
        <v>204</v>
      </c>
      <c r="E31" t="str">
        <f t="shared" si="0"/>
        <v>$0-$50</v>
      </c>
      <c r="F31">
        <v>1.6000000000000001E-3</v>
      </c>
      <c r="G31" t="s">
        <v>206</v>
      </c>
      <c r="H31">
        <f t="shared" si="1"/>
        <v>503419749</v>
      </c>
      <c r="I31" t="s">
        <v>207</v>
      </c>
      <c r="J31">
        <v>325843</v>
      </c>
      <c r="K31" t="s">
        <v>208</v>
      </c>
      <c r="L31">
        <f>_xlfn.NUMBERVALUE(SUBSTITUTE(SUBSTITUTE(Crypto_Data__2[[#This Row],[Price (USD)]],"$",""),",",""))</f>
        <v>1.94</v>
      </c>
      <c r="M31">
        <f t="shared" si="2"/>
        <v>1.9369009584664536</v>
      </c>
      <c r="N31">
        <f t="shared" si="3"/>
        <v>3.0990415335463428E-3</v>
      </c>
      <c r="O31" t="str">
        <f t="shared" si="4"/>
        <v>Up to $10</v>
      </c>
      <c r="P31">
        <f t="shared" si="5"/>
        <v>1.9431089743589745</v>
      </c>
      <c r="Q31">
        <f t="shared" si="6"/>
        <v>1.9431039999999999</v>
      </c>
      <c r="R31" t="str">
        <f t="shared" si="7"/>
        <v>$0-$5</v>
      </c>
      <c r="S31" t="str">
        <f t="shared" si="8"/>
        <v>$0.5-$5</v>
      </c>
      <c r="T31">
        <f t="shared" si="9"/>
        <v>1.6000000000000001E-3</v>
      </c>
    </row>
    <row r="32" spans="1:20" x14ac:dyDescent="0.3">
      <c r="A32" t="s">
        <v>209</v>
      </c>
      <c r="B3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32" t="s">
        <v>209</v>
      </c>
      <c r="D32" t="s">
        <v>210</v>
      </c>
      <c r="E32" t="str">
        <f t="shared" si="0"/>
        <v>$0-$50</v>
      </c>
      <c r="F32">
        <v>4.0000000000000002E-4</v>
      </c>
      <c r="G32" t="s">
        <v>211</v>
      </c>
      <c r="H32">
        <f t="shared" si="1"/>
        <v>136125306</v>
      </c>
      <c r="I32" t="s">
        <v>212</v>
      </c>
      <c r="J32">
        <v>6721454</v>
      </c>
      <c r="K32" t="s">
        <v>213</v>
      </c>
      <c r="L32">
        <f>_xlfn.NUMBERVALUE(SUBSTITUTE(SUBSTITUTE(Crypto_Data__2[[#This Row],[Price (USD)]],"$",""),",",""))</f>
        <v>7.1370000000000003E-2</v>
      </c>
      <c r="M32">
        <f t="shared" si="2"/>
        <v>7.1341463414634154E-2</v>
      </c>
      <c r="N32">
        <f t="shared" si="3"/>
        <v>2.8536585365848688E-5</v>
      </c>
      <c r="O32" t="str">
        <f t="shared" si="4"/>
        <v>Up to $10</v>
      </c>
      <c r="P32">
        <f t="shared" si="5"/>
        <v>7.1398559423769506E-2</v>
      </c>
      <c r="Q32">
        <f t="shared" si="6"/>
        <v>7.1398548000000006E-2</v>
      </c>
      <c r="R32" t="str">
        <f t="shared" si="7"/>
        <v>$0-$5</v>
      </c>
      <c r="S32" t="str">
        <f t="shared" si="8"/>
        <v>$0.05-$0.5</v>
      </c>
      <c r="T32">
        <f t="shared" si="9"/>
        <v>4.0000000000000002E-4</v>
      </c>
    </row>
    <row r="33" spans="1:20" x14ac:dyDescent="0.3">
      <c r="A33" t="s">
        <v>214</v>
      </c>
      <c r="B3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33" t="s">
        <v>215</v>
      </c>
      <c r="D33" t="s">
        <v>76</v>
      </c>
      <c r="E33" t="str">
        <f t="shared" si="0"/>
        <v>$0-$50</v>
      </c>
      <c r="F33">
        <v>0</v>
      </c>
      <c r="G33" t="s">
        <v>216</v>
      </c>
      <c r="H33">
        <f t="shared" si="1"/>
        <v>132578463</v>
      </c>
      <c r="I33" t="s">
        <v>217</v>
      </c>
      <c r="J33">
        <v>343471</v>
      </c>
      <c r="K33" t="s">
        <v>218</v>
      </c>
      <c r="L33">
        <f>_xlfn.NUMBERVALUE(SUBSTITUTE(SUBSTITUTE(Crypto_Data__2[[#This Row],[Price (USD)]],"$",""),",",""))</f>
        <v>0.99950000000000006</v>
      </c>
      <c r="M33">
        <f t="shared" si="2"/>
        <v>0.99950000000000006</v>
      </c>
      <c r="N33">
        <f t="shared" si="3"/>
        <v>0</v>
      </c>
      <c r="O33" t="str">
        <f t="shared" si="4"/>
        <v>Up to $10</v>
      </c>
      <c r="P33">
        <f t="shared" si="5"/>
        <v>0.99950000000000006</v>
      </c>
      <c r="Q33">
        <f t="shared" si="6"/>
        <v>0.99950000000000006</v>
      </c>
      <c r="R33" t="str">
        <f t="shared" si="7"/>
        <v>$0-$5</v>
      </c>
      <c r="S33" t="str">
        <f t="shared" si="8"/>
        <v>$0.5-$5</v>
      </c>
      <c r="T33">
        <f t="shared" si="9"/>
        <v>0</v>
      </c>
    </row>
    <row r="34" spans="1:20" x14ac:dyDescent="0.3">
      <c r="A34" t="s">
        <v>219</v>
      </c>
      <c r="B3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34" t="s">
        <v>220</v>
      </c>
      <c r="D34" t="s">
        <v>221</v>
      </c>
      <c r="E34" t="str">
        <f t="shared" si="0"/>
        <v>$0-$50</v>
      </c>
      <c r="F34">
        <v>2.0000000000000001E-4</v>
      </c>
      <c r="G34" t="s">
        <v>222</v>
      </c>
      <c r="H34">
        <f t="shared" ref="H34:H65" si="10">_xlfn.NUMBERVALUE(SUBSTITUTE(SUBSTITUTE(G34,"$",""),",",""))</f>
        <v>131915058</v>
      </c>
      <c r="I34" t="s">
        <v>223</v>
      </c>
      <c r="J34">
        <v>1092882</v>
      </c>
      <c r="K34" t="s">
        <v>224</v>
      </c>
      <c r="L34">
        <f>_xlfn.NUMBERVALUE(SUBSTITUTE(SUBSTITUTE(Crypto_Data__2[[#This Row],[Price (USD)]],"$",""),",",""))</f>
        <v>0.99960000000000004</v>
      </c>
      <c r="M34">
        <f t="shared" ref="M34:M65" si="11">L34/(1+F34)</f>
        <v>0.99940011997600486</v>
      </c>
      <c r="N34">
        <f t="shared" ref="N34:N65" si="12">L34-M34</f>
        <v>1.9988002399518034E-4</v>
      </c>
      <c r="O34" t="str">
        <f t="shared" ref="O34:O65" si="13">IF(L34&lt;10,"Up to $10","&gt;= $10")</f>
        <v>Up to $10</v>
      </c>
      <c r="P34">
        <f t="shared" ref="P34:P65" si="14">L34/(1-F34)</f>
        <v>0.99979995999199844</v>
      </c>
      <c r="Q34">
        <f t="shared" ref="Q34:Q65" si="15">L34*(1+F34)</f>
        <v>0.99979992000000006</v>
      </c>
      <c r="R34" t="str">
        <f t="shared" ref="R34:R65" si="16">IF(L34&lt;=5,"$0-$5","Above $5")</f>
        <v>$0-$5</v>
      </c>
      <c r="S34" t="str">
        <f t="shared" ref="S34:S65" si="17">IF(L34&lt;=0.05,"$0-$0.05",
IF(L34&lt;=0.5,"$0.05-$0.5",
IF(L34&lt;=5,"$0.5-$5",
IF(L34&lt;=50,"$5-$50","&gt;$50"))))</f>
        <v>$0.5-$5</v>
      </c>
      <c r="T34">
        <f t="shared" ref="T34:T65" si="18">ABS(F34)</f>
        <v>2.0000000000000001E-4</v>
      </c>
    </row>
    <row r="35" spans="1:20" x14ac:dyDescent="0.3">
      <c r="A35" t="s">
        <v>225</v>
      </c>
      <c r="B3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35" t="s">
        <v>226</v>
      </c>
      <c r="D35" t="s">
        <v>227</v>
      </c>
      <c r="E35" t="str">
        <f t="shared" si="0"/>
        <v>$0-$50</v>
      </c>
      <c r="F35">
        <v>4.3E-3</v>
      </c>
      <c r="G35" t="s">
        <v>228</v>
      </c>
      <c r="H35">
        <f t="shared" si="10"/>
        <v>131880666</v>
      </c>
      <c r="I35" t="s">
        <v>229</v>
      </c>
      <c r="J35">
        <v>2531201</v>
      </c>
      <c r="K35" t="s">
        <v>230</v>
      </c>
      <c r="L35">
        <f>_xlfn.NUMBERVALUE(SUBSTITUTE(SUBSTITUTE(Crypto_Data__2[[#This Row],[Price (USD)]],"$",""),",",""))</f>
        <v>0.13320000000000001</v>
      </c>
      <c r="M35">
        <f t="shared" si="11"/>
        <v>0.13262969232301106</v>
      </c>
      <c r="N35">
        <f t="shared" si="12"/>
        <v>5.7030767698895701E-4</v>
      </c>
      <c r="O35" t="str">
        <f t="shared" si="13"/>
        <v>Up to $10</v>
      </c>
      <c r="P35">
        <f t="shared" si="14"/>
        <v>0.1337752335040675</v>
      </c>
      <c r="Q35">
        <f t="shared" si="15"/>
        <v>0.13377276000000002</v>
      </c>
      <c r="R35" t="str">
        <f t="shared" si="16"/>
        <v>$0-$5</v>
      </c>
      <c r="S35" t="str">
        <f t="shared" si="17"/>
        <v>$0.05-$0.5</v>
      </c>
      <c r="T35">
        <f t="shared" si="18"/>
        <v>4.3E-3</v>
      </c>
    </row>
    <row r="36" spans="1:20" x14ac:dyDescent="0.3">
      <c r="A36" t="s">
        <v>231</v>
      </c>
      <c r="B3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36" t="s">
        <v>232</v>
      </c>
      <c r="D36" t="s">
        <v>233</v>
      </c>
      <c r="E36" t="str">
        <f t="shared" si="0"/>
        <v>$0-$50</v>
      </c>
      <c r="F36">
        <v>1.3100000000000001E-2</v>
      </c>
      <c r="G36" t="s">
        <v>235</v>
      </c>
      <c r="H36">
        <f t="shared" si="10"/>
        <v>129554753</v>
      </c>
      <c r="I36" t="s">
        <v>236</v>
      </c>
      <c r="J36">
        <v>7930906</v>
      </c>
      <c r="K36" t="s">
        <v>237</v>
      </c>
      <c r="L36">
        <f>_xlfn.NUMBERVALUE(SUBSTITUTE(SUBSTITUTE(Crypto_Data__2[[#This Row],[Price (USD)]],"$",""),",",""))</f>
        <v>0.27810000000000001</v>
      </c>
      <c r="M36">
        <f t="shared" si="11"/>
        <v>0.27450399763103345</v>
      </c>
      <c r="N36">
        <f t="shared" si="12"/>
        <v>3.5960023689665666E-3</v>
      </c>
      <c r="O36" t="str">
        <f t="shared" si="13"/>
        <v>Up to $10</v>
      </c>
      <c r="P36">
        <f t="shared" si="14"/>
        <v>0.28179146823386364</v>
      </c>
      <c r="Q36">
        <f t="shared" si="15"/>
        <v>0.28174311000000002</v>
      </c>
      <c r="R36" t="str">
        <f t="shared" si="16"/>
        <v>$0-$5</v>
      </c>
      <c r="S36" t="str">
        <f t="shared" si="17"/>
        <v>$0.05-$0.5</v>
      </c>
      <c r="T36">
        <f t="shared" si="18"/>
        <v>1.3100000000000001E-2</v>
      </c>
    </row>
    <row r="37" spans="1:20" x14ac:dyDescent="0.3">
      <c r="A37" t="s">
        <v>238</v>
      </c>
      <c r="B3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37" t="s">
        <v>238</v>
      </c>
      <c r="D37" t="s">
        <v>48</v>
      </c>
      <c r="E37" t="str">
        <f t="shared" si="0"/>
        <v>$0-$50</v>
      </c>
      <c r="F37">
        <v>1E-4</v>
      </c>
      <c r="G37" t="s">
        <v>239</v>
      </c>
      <c r="H37">
        <f t="shared" si="10"/>
        <v>128872926</v>
      </c>
      <c r="I37" t="s">
        <v>240</v>
      </c>
      <c r="J37">
        <v>8432086</v>
      </c>
      <c r="K37" t="s">
        <v>241</v>
      </c>
      <c r="L37">
        <f>_xlfn.NUMBERVALUE(SUBSTITUTE(SUBSTITUTE(Crypto_Data__2[[#This Row],[Price (USD)]],"$",""),",",""))</f>
        <v>0.99970000000000003</v>
      </c>
      <c r="M37">
        <f t="shared" si="11"/>
        <v>0.99960003999600044</v>
      </c>
      <c r="N37">
        <f t="shared" si="12"/>
        <v>9.9960003999588487E-5</v>
      </c>
      <c r="O37" t="str">
        <f t="shared" si="13"/>
        <v>Up to $10</v>
      </c>
      <c r="P37">
        <f t="shared" si="14"/>
        <v>0.99979997999799985</v>
      </c>
      <c r="Q37">
        <f t="shared" si="15"/>
        <v>0.99979996999999998</v>
      </c>
      <c r="R37" t="str">
        <f t="shared" si="16"/>
        <v>$0-$5</v>
      </c>
      <c r="S37" t="str">
        <f t="shared" si="17"/>
        <v>$0.5-$5</v>
      </c>
      <c r="T37">
        <f t="shared" si="18"/>
        <v>1E-4</v>
      </c>
    </row>
    <row r="38" spans="1:20" x14ac:dyDescent="0.3">
      <c r="A38" t="s">
        <v>242</v>
      </c>
      <c r="B3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38" t="s">
        <v>243</v>
      </c>
      <c r="D38" t="s">
        <v>244</v>
      </c>
      <c r="E38" t="str">
        <f t="shared" si="0"/>
        <v>$0-$50</v>
      </c>
      <c r="F38">
        <v>5.0000000000000001E-3</v>
      </c>
      <c r="G38" t="s">
        <v>246</v>
      </c>
      <c r="H38">
        <f t="shared" si="10"/>
        <v>128393361</v>
      </c>
      <c r="I38" t="s">
        <v>247</v>
      </c>
      <c r="J38">
        <v>10778520</v>
      </c>
      <c r="K38" t="s">
        <v>248</v>
      </c>
      <c r="L38">
        <f>_xlfn.NUMBERVALUE(SUBSTITUTE(SUBSTITUTE(Crypto_Data__2[[#This Row],[Price (USD)]],"$",""),",",""))</f>
        <v>4.956E-2</v>
      </c>
      <c r="M38">
        <f t="shared" si="11"/>
        <v>4.9313432835820903E-2</v>
      </c>
      <c r="N38">
        <f t="shared" si="12"/>
        <v>2.4656716417909702E-4</v>
      </c>
      <c r="O38" t="str">
        <f t="shared" si="13"/>
        <v>Up to $10</v>
      </c>
      <c r="P38">
        <f t="shared" si="14"/>
        <v>4.9809045226130652E-2</v>
      </c>
      <c r="Q38">
        <f t="shared" si="15"/>
        <v>4.9807799999999992E-2</v>
      </c>
      <c r="R38" t="str">
        <f t="shared" si="16"/>
        <v>$0-$5</v>
      </c>
      <c r="S38" t="str">
        <f t="shared" si="17"/>
        <v>$0-$0.05</v>
      </c>
      <c r="T38">
        <f t="shared" si="18"/>
        <v>5.0000000000000001E-3</v>
      </c>
    </row>
    <row r="39" spans="1:20" x14ac:dyDescent="0.3">
      <c r="A39" t="s">
        <v>249</v>
      </c>
      <c r="B3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39" t="s">
        <v>250</v>
      </c>
      <c r="D39" t="s">
        <v>251</v>
      </c>
      <c r="E39" t="str">
        <f t="shared" si="0"/>
        <v>$0-$50</v>
      </c>
      <c r="F39">
        <v>5.0000000000000001E-4</v>
      </c>
      <c r="G39" t="s">
        <v>253</v>
      </c>
      <c r="H39">
        <f t="shared" si="10"/>
        <v>128203844</v>
      </c>
      <c r="I39" t="s">
        <v>254</v>
      </c>
      <c r="J39">
        <v>10487502</v>
      </c>
      <c r="K39" t="s">
        <v>255</v>
      </c>
      <c r="L39">
        <f>_xlfn.NUMBERVALUE(SUBSTITUTE(SUBSTITUTE(Crypto_Data__2[[#This Row],[Price (USD)]],"$",""),",",""))</f>
        <v>2.674E-2</v>
      </c>
      <c r="M39">
        <f t="shared" si="11"/>
        <v>2.6726636681659172E-2</v>
      </c>
      <c r="N39">
        <f t="shared" si="12"/>
        <v>1.3363318340828267E-5</v>
      </c>
      <c r="O39" t="str">
        <f t="shared" si="13"/>
        <v>Up to $10</v>
      </c>
      <c r="P39">
        <f t="shared" si="14"/>
        <v>2.6753376688344172E-2</v>
      </c>
      <c r="Q39">
        <f t="shared" si="15"/>
        <v>2.6753369999999999E-2</v>
      </c>
      <c r="R39" t="str">
        <f t="shared" si="16"/>
        <v>$0-$5</v>
      </c>
      <c r="S39" t="str">
        <f t="shared" si="17"/>
        <v>$0-$0.05</v>
      </c>
      <c r="T39">
        <f t="shared" si="18"/>
        <v>5.0000000000000001E-4</v>
      </c>
    </row>
    <row r="40" spans="1:20" x14ac:dyDescent="0.3">
      <c r="A40" t="s">
        <v>256</v>
      </c>
      <c r="B4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40" t="s">
        <v>257</v>
      </c>
      <c r="D40" t="s">
        <v>258</v>
      </c>
      <c r="E40" t="str">
        <f t="shared" si="0"/>
        <v>$0-$50</v>
      </c>
      <c r="F40">
        <v>4.3E-3</v>
      </c>
      <c r="G40" t="s">
        <v>259</v>
      </c>
      <c r="H40">
        <f t="shared" si="10"/>
        <v>127672149</v>
      </c>
      <c r="I40" t="s">
        <v>260</v>
      </c>
      <c r="J40">
        <v>11344790</v>
      </c>
      <c r="K40" t="s">
        <v>261</v>
      </c>
      <c r="L40">
        <f>_xlfn.NUMBERVALUE(SUBSTITUTE(SUBSTITUTE(Crypto_Data__2[[#This Row],[Price (USD)]],"$",""),",",""))</f>
        <v>6.8089999999999998E-2</v>
      </c>
      <c r="M40">
        <f t="shared" si="11"/>
        <v>6.7798466593647314E-2</v>
      </c>
      <c r="N40">
        <f t="shared" si="12"/>
        <v>2.9153340635268421E-4</v>
      </c>
      <c r="O40" t="str">
        <f t="shared" si="13"/>
        <v>Up to $10</v>
      </c>
      <c r="P40">
        <f t="shared" si="14"/>
        <v>6.8384051421110773E-2</v>
      </c>
      <c r="Q40">
        <f t="shared" si="15"/>
        <v>6.8382787E-2</v>
      </c>
      <c r="R40" t="str">
        <f t="shared" si="16"/>
        <v>$0-$5</v>
      </c>
      <c r="S40" t="str">
        <f t="shared" si="17"/>
        <v>$0.05-$0.5</v>
      </c>
      <c r="T40">
        <f t="shared" si="18"/>
        <v>4.3E-3</v>
      </c>
    </row>
    <row r="41" spans="1:20" x14ac:dyDescent="0.3">
      <c r="A41" t="s">
        <v>262</v>
      </c>
      <c r="B4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41" t="s">
        <v>263</v>
      </c>
      <c r="D41" t="s">
        <v>264</v>
      </c>
      <c r="E41" t="str">
        <f t="shared" si="0"/>
        <v>$0-$50</v>
      </c>
      <c r="F41">
        <v>1.9E-3</v>
      </c>
      <c r="G41" t="s">
        <v>266</v>
      </c>
      <c r="H41">
        <f t="shared" si="10"/>
        <v>127660598</v>
      </c>
      <c r="I41" t="s">
        <v>267</v>
      </c>
      <c r="J41">
        <v>9341488</v>
      </c>
      <c r="K41" t="s">
        <v>268</v>
      </c>
      <c r="L41">
        <f>_xlfn.NUMBERVALUE(SUBSTITUTE(SUBSTITUTE(Crypto_Data__2[[#This Row],[Price (USD)]],"$",""),",",""))</f>
        <v>4.24</v>
      </c>
      <c r="M41">
        <f t="shared" si="11"/>
        <v>4.231959277372991</v>
      </c>
      <c r="N41">
        <f t="shared" si="12"/>
        <v>8.040722627009167E-3</v>
      </c>
      <c r="O41" t="str">
        <f t="shared" si="13"/>
        <v>Up to $10</v>
      </c>
      <c r="P41">
        <f t="shared" si="14"/>
        <v>4.2480713355375217</v>
      </c>
      <c r="Q41">
        <f t="shared" si="15"/>
        <v>4.2480560000000001</v>
      </c>
      <c r="R41" t="str">
        <f t="shared" si="16"/>
        <v>$0-$5</v>
      </c>
      <c r="S41" t="str">
        <f t="shared" si="17"/>
        <v>$0.5-$5</v>
      </c>
      <c r="T41">
        <f t="shared" si="18"/>
        <v>1.9E-3</v>
      </c>
    </row>
    <row r="42" spans="1:20" x14ac:dyDescent="0.3">
      <c r="A42" t="s">
        <v>269</v>
      </c>
      <c r="B4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42" t="s">
        <v>270</v>
      </c>
      <c r="D42" t="s">
        <v>271</v>
      </c>
      <c r="E42" t="str">
        <f t="shared" si="0"/>
        <v>$0-$50</v>
      </c>
      <c r="F42">
        <v>1.32E-2</v>
      </c>
      <c r="G42" t="s">
        <v>273</v>
      </c>
      <c r="H42">
        <f t="shared" si="10"/>
        <v>87828987</v>
      </c>
      <c r="I42" t="s">
        <v>274</v>
      </c>
      <c r="J42">
        <v>9141404</v>
      </c>
      <c r="K42" t="s">
        <v>275</v>
      </c>
      <c r="L42">
        <f>_xlfn.NUMBERVALUE(SUBSTITUTE(SUBSTITUTE(Crypto_Data__2[[#This Row],[Price (USD)]],"$",""),",",""))</f>
        <v>0.43259999999999998</v>
      </c>
      <c r="M42">
        <f t="shared" si="11"/>
        <v>0.42696407422029209</v>
      </c>
      <c r="N42">
        <f t="shared" si="12"/>
        <v>5.6359257797078954E-3</v>
      </c>
      <c r="O42" t="str">
        <f t="shared" si="13"/>
        <v>Up to $10</v>
      </c>
      <c r="P42">
        <f t="shared" si="14"/>
        <v>0.43838670449939193</v>
      </c>
      <c r="Q42">
        <f t="shared" si="15"/>
        <v>0.43831032000000003</v>
      </c>
      <c r="R42" t="str">
        <f t="shared" si="16"/>
        <v>$0-$5</v>
      </c>
      <c r="S42" t="str">
        <f t="shared" si="17"/>
        <v>$0.05-$0.5</v>
      </c>
      <c r="T42">
        <f t="shared" si="18"/>
        <v>1.32E-2</v>
      </c>
    </row>
    <row r="43" spans="1:20" x14ac:dyDescent="0.3">
      <c r="A43" t="s">
        <v>276</v>
      </c>
      <c r="B4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43" t="s">
        <v>277</v>
      </c>
      <c r="D43" t="s">
        <v>278</v>
      </c>
      <c r="E43" t="str">
        <f t="shared" si="0"/>
        <v>$0-$50</v>
      </c>
      <c r="F43">
        <v>1E-3</v>
      </c>
      <c r="G43" t="s">
        <v>279</v>
      </c>
      <c r="H43">
        <f t="shared" si="10"/>
        <v>87776158</v>
      </c>
      <c r="I43" t="s">
        <v>280</v>
      </c>
      <c r="J43">
        <v>9108166</v>
      </c>
      <c r="K43" t="s">
        <v>281</v>
      </c>
      <c r="L43">
        <f>_xlfn.NUMBERVALUE(SUBSTITUTE(SUBSTITUTE(Crypto_Data__2[[#This Row],[Price (USD)]],"$",""),",",""))</f>
        <v>1.62</v>
      </c>
      <c r="M43">
        <f t="shared" si="11"/>
        <v>1.6183816183816186</v>
      </c>
      <c r="N43">
        <f t="shared" si="12"/>
        <v>1.6183816183814592E-3</v>
      </c>
      <c r="O43" t="str">
        <f t="shared" si="13"/>
        <v>Up to $10</v>
      </c>
      <c r="P43">
        <f t="shared" si="14"/>
        <v>1.6216216216216217</v>
      </c>
      <c r="Q43">
        <f t="shared" si="15"/>
        <v>1.6216199999999998</v>
      </c>
      <c r="R43" t="str">
        <f t="shared" si="16"/>
        <v>$0-$5</v>
      </c>
      <c r="S43" t="str">
        <f t="shared" si="17"/>
        <v>$0.5-$5</v>
      </c>
      <c r="T43">
        <f t="shared" si="18"/>
        <v>1E-3</v>
      </c>
    </row>
    <row r="44" spans="1:20" x14ac:dyDescent="0.3">
      <c r="A44" t="s">
        <v>282</v>
      </c>
      <c r="B4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44" t="s">
        <v>283</v>
      </c>
      <c r="D44" t="s">
        <v>284</v>
      </c>
      <c r="E44" t="str">
        <f t="shared" si="0"/>
        <v>$0-$50</v>
      </c>
      <c r="F44">
        <v>0</v>
      </c>
      <c r="G44" t="s">
        <v>285</v>
      </c>
      <c r="H44">
        <f t="shared" si="10"/>
        <v>86786092</v>
      </c>
      <c r="I44" t="s">
        <v>286</v>
      </c>
      <c r="J44">
        <v>24699</v>
      </c>
      <c r="K44" t="s">
        <v>287</v>
      </c>
      <c r="L44">
        <f>_xlfn.NUMBERVALUE(SUBSTITUTE(SUBSTITUTE(Crypto_Data__2[[#This Row],[Price (USD)]],"$",""),",",""))</f>
        <v>0.69950000000000001</v>
      </c>
      <c r="M44">
        <f t="shared" si="11"/>
        <v>0.69950000000000001</v>
      </c>
      <c r="N44">
        <f t="shared" si="12"/>
        <v>0</v>
      </c>
      <c r="O44" t="str">
        <f t="shared" si="13"/>
        <v>Up to $10</v>
      </c>
      <c r="P44">
        <f t="shared" si="14"/>
        <v>0.69950000000000001</v>
      </c>
      <c r="Q44">
        <f t="shared" si="15"/>
        <v>0.69950000000000001</v>
      </c>
      <c r="R44" t="str">
        <f t="shared" si="16"/>
        <v>$0-$5</v>
      </c>
      <c r="S44" t="str">
        <f t="shared" si="17"/>
        <v>$0.5-$5</v>
      </c>
      <c r="T44">
        <f t="shared" si="18"/>
        <v>0</v>
      </c>
    </row>
    <row r="45" spans="1:20" x14ac:dyDescent="0.3">
      <c r="A45" t="s">
        <v>288</v>
      </c>
      <c r="B4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45" t="s">
        <v>288</v>
      </c>
      <c r="D45" t="s">
        <v>289</v>
      </c>
      <c r="E45" t="str">
        <f t="shared" si="0"/>
        <v>$0-$50</v>
      </c>
      <c r="F45">
        <v>1.2999999999999999E-3</v>
      </c>
      <c r="G45" t="s">
        <v>291</v>
      </c>
      <c r="H45">
        <f t="shared" si="10"/>
        <v>86613592</v>
      </c>
      <c r="I45" t="s">
        <v>292</v>
      </c>
      <c r="J45">
        <v>295825</v>
      </c>
      <c r="K45" t="s">
        <v>293</v>
      </c>
      <c r="L45">
        <f>_xlfn.NUMBERVALUE(SUBSTITUTE(SUBSTITUTE(Crypto_Data__2[[#This Row],[Price (USD)]],"$",""),",",""))</f>
        <v>2.88</v>
      </c>
      <c r="M45">
        <f t="shared" si="11"/>
        <v>2.8762608608808544</v>
      </c>
      <c r="N45">
        <f t="shared" si="12"/>
        <v>3.7391391191454737E-3</v>
      </c>
      <c r="O45" t="str">
        <f t="shared" si="13"/>
        <v>Up to $10</v>
      </c>
      <c r="P45">
        <f t="shared" si="14"/>
        <v>2.8837488735355961</v>
      </c>
      <c r="Q45">
        <f t="shared" si="15"/>
        <v>2.8837440000000001</v>
      </c>
      <c r="R45" t="str">
        <f t="shared" si="16"/>
        <v>$0-$5</v>
      </c>
      <c r="S45" t="str">
        <f t="shared" si="17"/>
        <v>$0.5-$5</v>
      </c>
      <c r="T45">
        <f t="shared" si="18"/>
        <v>1.2999999999999999E-3</v>
      </c>
    </row>
    <row r="46" spans="1:20" x14ac:dyDescent="0.3">
      <c r="A46" t="s">
        <v>294</v>
      </c>
      <c r="B4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46" t="s">
        <v>295</v>
      </c>
      <c r="D46" t="s">
        <v>296</v>
      </c>
      <c r="E46" t="str">
        <f t="shared" si="0"/>
        <v>$0-$50</v>
      </c>
      <c r="F46">
        <v>2.0000000000000001E-4</v>
      </c>
      <c r="G46" t="s">
        <v>297</v>
      </c>
      <c r="H46">
        <f t="shared" si="10"/>
        <v>86345798</v>
      </c>
      <c r="I46" t="s">
        <v>298</v>
      </c>
      <c r="J46">
        <v>4522686</v>
      </c>
      <c r="K46" t="s">
        <v>299</v>
      </c>
      <c r="L46">
        <f>_xlfn.NUMBERVALUE(SUBSTITUTE(SUBSTITUTE(Crypto_Data__2[[#This Row],[Price (USD)]],"$",""),",",""))</f>
        <v>8.6470000000000005E-2</v>
      </c>
      <c r="M46">
        <f t="shared" si="11"/>
        <v>8.6452709458108387E-2</v>
      </c>
      <c r="N46">
        <f t="shared" si="12"/>
        <v>1.729054189161805E-5</v>
      </c>
      <c r="O46" t="str">
        <f t="shared" si="13"/>
        <v>Up to $10</v>
      </c>
      <c r="P46">
        <f t="shared" si="14"/>
        <v>8.6487297459491908E-2</v>
      </c>
      <c r="Q46">
        <f t="shared" si="15"/>
        <v>8.6487294000000006E-2</v>
      </c>
      <c r="R46" t="str">
        <f t="shared" si="16"/>
        <v>$0-$5</v>
      </c>
      <c r="S46" t="str">
        <f t="shared" si="17"/>
        <v>$0.05-$0.5</v>
      </c>
      <c r="T46">
        <f t="shared" si="18"/>
        <v>2.0000000000000001E-4</v>
      </c>
    </row>
    <row r="47" spans="1:20" x14ac:dyDescent="0.3">
      <c r="A47" t="s">
        <v>300</v>
      </c>
      <c r="B4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47" t="s">
        <v>301</v>
      </c>
      <c r="D47" t="s">
        <v>302</v>
      </c>
      <c r="E47" t="str">
        <f t="shared" si="0"/>
        <v>$0-$50</v>
      </c>
      <c r="F47">
        <v>1.9E-3</v>
      </c>
      <c r="G47" t="s">
        <v>303</v>
      </c>
      <c r="H47">
        <f t="shared" si="10"/>
        <v>86441423</v>
      </c>
      <c r="I47" t="s">
        <v>304</v>
      </c>
      <c r="J47">
        <v>6787116</v>
      </c>
      <c r="K47" t="s">
        <v>305</v>
      </c>
      <c r="L47">
        <f>_xlfn.NUMBERVALUE(SUBSTITUTE(SUBSTITUTE(Crypto_Data__2[[#This Row],[Price (USD)]],"$",""),",",""))</f>
        <v>6.4009999999999997E-2</v>
      </c>
      <c r="M47">
        <f t="shared" si="11"/>
        <v>6.3888611637888004E-2</v>
      </c>
      <c r="N47">
        <f t="shared" si="12"/>
        <v>1.2138836211199322E-4</v>
      </c>
      <c r="O47" t="str">
        <f t="shared" si="13"/>
        <v>Up to $10</v>
      </c>
      <c r="P47">
        <f t="shared" si="14"/>
        <v>6.413185051598036E-2</v>
      </c>
      <c r="Q47">
        <f t="shared" si="15"/>
        <v>6.4131619000000001E-2</v>
      </c>
      <c r="R47" t="str">
        <f t="shared" si="16"/>
        <v>$0-$5</v>
      </c>
      <c r="S47" t="str">
        <f t="shared" si="17"/>
        <v>$0.05-$0.5</v>
      </c>
      <c r="T47">
        <f t="shared" si="18"/>
        <v>1.9E-3</v>
      </c>
    </row>
    <row r="48" spans="1:20" x14ac:dyDescent="0.3">
      <c r="A48" t="s">
        <v>306</v>
      </c>
      <c r="B4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48" t="s">
        <v>307</v>
      </c>
      <c r="D48" t="s">
        <v>308</v>
      </c>
      <c r="E48" t="str">
        <f t="shared" si="0"/>
        <v>$0-$50</v>
      </c>
      <c r="F48">
        <v>5.1999999999999998E-3</v>
      </c>
      <c r="G48" t="s">
        <v>309</v>
      </c>
      <c r="H48">
        <f t="shared" si="10"/>
        <v>85996731</v>
      </c>
      <c r="I48" t="s">
        <v>310</v>
      </c>
      <c r="J48">
        <v>4342188</v>
      </c>
      <c r="K48" t="s">
        <v>311</v>
      </c>
      <c r="L48">
        <f>_xlfn.NUMBERVALUE(SUBSTITUTE(SUBSTITUTE(Crypto_Data__2[[#This Row],[Price (USD)]],"$",""),",",""))</f>
        <v>0.45040000000000002</v>
      </c>
      <c r="M48">
        <f t="shared" si="11"/>
        <v>0.44807003581376836</v>
      </c>
      <c r="N48">
        <f t="shared" si="12"/>
        <v>2.3299641862316589E-3</v>
      </c>
      <c r="O48" t="str">
        <f t="shared" si="13"/>
        <v>Up to $10</v>
      </c>
      <c r="P48">
        <f t="shared" si="14"/>
        <v>0.4527543224768798</v>
      </c>
      <c r="Q48">
        <f t="shared" si="15"/>
        <v>0.45274208000000005</v>
      </c>
      <c r="R48" t="str">
        <f t="shared" si="16"/>
        <v>$0-$5</v>
      </c>
      <c r="S48" t="str">
        <f t="shared" si="17"/>
        <v>$0.05-$0.5</v>
      </c>
      <c r="T48">
        <f t="shared" si="18"/>
        <v>5.1999999999999998E-3</v>
      </c>
    </row>
    <row r="49" spans="1:20" x14ac:dyDescent="0.3">
      <c r="A49" t="s">
        <v>312</v>
      </c>
      <c r="B4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49" t="s">
        <v>313</v>
      </c>
      <c r="D49" t="s">
        <v>314</v>
      </c>
      <c r="E49" t="str">
        <f t="shared" si="0"/>
        <v>$0-$50</v>
      </c>
      <c r="F49">
        <v>8.8000000000000005E-3</v>
      </c>
      <c r="G49" t="s">
        <v>316</v>
      </c>
      <c r="H49">
        <f t="shared" si="10"/>
        <v>85680579</v>
      </c>
      <c r="I49" t="s">
        <v>317</v>
      </c>
      <c r="J49">
        <v>14947172</v>
      </c>
      <c r="K49" t="s">
        <v>318</v>
      </c>
      <c r="L49">
        <f>_xlfn.NUMBERVALUE(SUBSTITUTE(SUBSTITUTE(Crypto_Data__2[[#This Row],[Price (USD)]],"$",""),",",""))</f>
        <v>8.5680000000000006E-2</v>
      </c>
      <c r="M49">
        <f t="shared" si="11"/>
        <v>8.4932593180015878E-2</v>
      </c>
      <c r="N49">
        <f t="shared" si="12"/>
        <v>7.4740681998412828E-4</v>
      </c>
      <c r="O49" t="str">
        <f t="shared" si="13"/>
        <v>Up to $10</v>
      </c>
      <c r="P49">
        <f t="shared" si="14"/>
        <v>8.6440677966101706E-2</v>
      </c>
      <c r="Q49">
        <f t="shared" si="15"/>
        <v>8.6433984000000005E-2</v>
      </c>
      <c r="R49" t="str">
        <f t="shared" si="16"/>
        <v>$0-$5</v>
      </c>
      <c r="S49" t="str">
        <f t="shared" si="17"/>
        <v>$0.05-$0.5</v>
      </c>
      <c r="T49">
        <f t="shared" si="18"/>
        <v>8.8000000000000005E-3</v>
      </c>
    </row>
    <row r="50" spans="1:20" x14ac:dyDescent="0.3">
      <c r="A50" t="s">
        <v>319</v>
      </c>
      <c r="B5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50" t="s">
        <v>320</v>
      </c>
      <c r="D50" t="s">
        <v>321</v>
      </c>
      <c r="E50" t="str">
        <f t="shared" si="0"/>
        <v>$0-$50</v>
      </c>
      <c r="F50">
        <v>3.8E-3</v>
      </c>
      <c r="G50" t="s">
        <v>323</v>
      </c>
      <c r="H50">
        <f t="shared" si="10"/>
        <v>85436011</v>
      </c>
      <c r="I50" t="s">
        <v>324</v>
      </c>
      <c r="J50">
        <v>10238715</v>
      </c>
      <c r="K50" t="s">
        <v>325</v>
      </c>
      <c r="L50">
        <f>_xlfn.NUMBERVALUE(SUBSTITUTE(SUBSTITUTE(Crypto_Data__2[[#This Row],[Price (USD)]],"$",""),",",""))</f>
        <v>8.5430000000000006E-2</v>
      </c>
      <c r="M50">
        <f t="shared" si="11"/>
        <v>8.5106594939230923E-2</v>
      </c>
      <c r="N50">
        <f t="shared" si="12"/>
        <v>3.2340506076908304E-4</v>
      </c>
      <c r="O50" t="str">
        <f t="shared" si="13"/>
        <v>Up to $10</v>
      </c>
      <c r="P50">
        <f t="shared" si="14"/>
        <v>8.5755872314796228E-2</v>
      </c>
      <c r="Q50">
        <f t="shared" si="15"/>
        <v>8.575463400000001E-2</v>
      </c>
      <c r="R50" t="str">
        <f t="shared" si="16"/>
        <v>$0-$5</v>
      </c>
      <c r="S50" t="str">
        <f t="shared" si="17"/>
        <v>$0.05-$0.5</v>
      </c>
      <c r="T50">
        <f t="shared" si="18"/>
        <v>3.8E-3</v>
      </c>
    </row>
    <row r="51" spans="1:20" x14ac:dyDescent="0.3">
      <c r="A51" t="s">
        <v>326</v>
      </c>
      <c r="B5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51" t="s">
        <v>327</v>
      </c>
      <c r="D51" t="s">
        <v>328</v>
      </c>
      <c r="E51" t="str">
        <f t="shared" si="0"/>
        <v>$0-$50</v>
      </c>
      <c r="F51">
        <v>0</v>
      </c>
      <c r="G51" t="s">
        <v>329</v>
      </c>
      <c r="H51">
        <f t="shared" si="10"/>
        <v>84791103</v>
      </c>
      <c r="I51" t="s">
        <v>330</v>
      </c>
      <c r="J51" t="e">
        <v>#VALUE!</v>
      </c>
      <c r="K51" t="s">
        <v>331</v>
      </c>
      <c r="L51">
        <f>_xlfn.NUMBERVALUE(SUBSTITUTE(SUBSTITUTE(Crypto_Data__2[[#This Row],[Price (USD)]],"$",""),",",""))</f>
        <v>0.8861</v>
      </c>
      <c r="M51">
        <f t="shared" si="11"/>
        <v>0.8861</v>
      </c>
      <c r="N51">
        <f t="shared" si="12"/>
        <v>0</v>
      </c>
      <c r="O51" t="str">
        <f t="shared" si="13"/>
        <v>Up to $10</v>
      </c>
      <c r="P51">
        <f t="shared" si="14"/>
        <v>0.8861</v>
      </c>
      <c r="Q51">
        <f t="shared" si="15"/>
        <v>0.8861</v>
      </c>
      <c r="R51" t="str">
        <f t="shared" si="16"/>
        <v>$0-$5</v>
      </c>
      <c r="S51" t="str">
        <f t="shared" si="17"/>
        <v>$0.5-$5</v>
      </c>
      <c r="T51">
        <f t="shared" si="18"/>
        <v>0</v>
      </c>
    </row>
    <row r="52" spans="1:20" x14ac:dyDescent="0.3">
      <c r="A52" t="s">
        <v>332</v>
      </c>
      <c r="B5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52" t="s">
        <v>333</v>
      </c>
      <c r="D52" t="s">
        <v>334</v>
      </c>
      <c r="E52" t="str">
        <f t="shared" si="0"/>
        <v>$0-$50</v>
      </c>
      <c r="F52">
        <v>7.7000000000000002E-3</v>
      </c>
      <c r="G52" t="s">
        <v>336</v>
      </c>
      <c r="H52">
        <f t="shared" si="10"/>
        <v>62836837</v>
      </c>
      <c r="I52" t="s">
        <v>337</v>
      </c>
      <c r="J52">
        <v>13787251</v>
      </c>
      <c r="K52" t="s">
        <v>338</v>
      </c>
      <c r="L52">
        <f>_xlfn.NUMBERVALUE(SUBSTITUTE(SUBSTITUTE(Crypto_Data__2[[#This Row],[Price (USD)]],"$",""),",",""))</f>
        <v>3.141E-2</v>
      </c>
      <c r="M52">
        <f t="shared" si="11"/>
        <v>3.1169991068770466E-2</v>
      </c>
      <c r="N52">
        <f t="shared" si="12"/>
        <v>2.4000893122953434E-4</v>
      </c>
      <c r="O52" t="str">
        <f t="shared" si="13"/>
        <v>Up to $10</v>
      </c>
      <c r="P52">
        <f t="shared" si="14"/>
        <v>3.1653733749874034E-2</v>
      </c>
      <c r="Q52">
        <f t="shared" si="15"/>
        <v>3.1651856999999999E-2</v>
      </c>
      <c r="R52" t="str">
        <f t="shared" si="16"/>
        <v>$0-$5</v>
      </c>
      <c r="S52" t="str">
        <f t="shared" si="17"/>
        <v>$0-$0.05</v>
      </c>
      <c r="T52">
        <f t="shared" si="18"/>
        <v>7.7000000000000002E-3</v>
      </c>
    </row>
    <row r="53" spans="1:20" x14ac:dyDescent="0.3">
      <c r="A53" t="s">
        <v>339</v>
      </c>
      <c r="B5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53" t="s">
        <v>340</v>
      </c>
      <c r="D53" t="s">
        <v>341</v>
      </c>
      <c r="E53" t="str">
        <f t="shared" si="0"/>
        <v>$0-$50</v>
      </c>
      <c r="F53">
        <v>8.9999999999999998E-4</v>
      </c>
      <c r="G53" t="s">
        <v>343</v>
      </c>
      <c r="H53">
        <f t="shared" si="10"/>
        <v>62825935</v>
      </c>
      <c r="I53" t="s">
        <v>344</v>
      </c>
      <c r="J53">
        <v>1249114</v>
      </c>
      <c r="K53" t="s">
        <v>345</v>
      </c>
      <c r="L53">
        <f>_xlfn.NUMBERVALUE(SUBSTITUTE(SUBSTITUTE(Crypto_Data__2[[#This Row],[Price (USD)]],"$",""),",",""))</f>
        <v>0.72919999999999996</v>
      </c>
      <c r="M53">
        <f t="shared" si="11"/>
        <v>0.72854431012089127</v>
      </c>
      <c r="N53">
        <f t="shared" si="12"/>
        <v>6.5568987910868959E-4</v>
      </c>
      <c r="O53" t="str">
        <f t="shared" si="13"/>
        <v>Up to $10</v>
      </c>
      <c r="P53">
        <f t="shared" si="14"/>
        <v>0.72985687118406561</v>
      </c>
      <c r="Q53">
        <f t="shared" si="15"/>
        <v>0.72985627999999991</v>
      </c>
      <c r="R53" t="str">
        <f t="shared" si="16"/>
        <v>$0-$5</v>
      </c>
      <c r="S53" t="str">
        <f t="shared" si="17"/>
        <v>$0.5-$5</v>
      </c>
      <c r="T53">
        <f t="shared" si="18"/>
        <v>8.9999999999999998E-4</v>
      </c>
    </row>
    <row r="54" spans="1:20" x14ac:dyDescent="0.3">
      <c r="A54" t="s">
        <v>346</v>
      </c>
      <c r="B5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54" t="s">
        <v>347</v>
      </c>
      <c r="D54" t="s">
        <v>348</v>
      </c>
      <c r="E54" t="str">
        <f t="shared" si="0"/>
        <v>$0-$50</v>
      </c>
      <c r="F54">
        <v>5.1999999999999998E-3</v>
      </c>
      <c r="G54" t="s">
        <v>349</v>
      </c>
      <c r="H54">
        <f t="shared" si="10"/>
        <v>62746080</v>
      </c>
      <c r="I54" t="s">
        <v>350</v>
      </c>
      <c r="J54">
        <v>5327551</v>
      </c>
      <c r="K54" t="s">
        <v>351</v>
      </c>
      <c r="L54">
        <f>_xlfn.NUMBERVALUE(SUBSTITUTE(SUBSTITUTE(Crypto_Data__2[[#This Row],[Price (USD)]],"$",""),",",""))</f>
        <v>8.0400000000000003E-3</v>
      </c>
      <c r="M54">
        <f t="shared" si="11"/>
        <v>7.9984082769598078E-3</v>
      </c>
      <c r="N54">
        <f t="shared" si="12"/>
        <v>4.1591723040192499E-5</v>
      </c>
      <c r="O54" t="str">
        <f t="shared" si="13"/>
        <v>Up to $10</v>
      </c>
      <c r="P54">
        <f t="shared" si="14"/>
        <v>8.0820265379975883E-3</v>
      </c>
      <c r="Q54">
        <f t="shared" si="15"/>
        <v>8.0818080000000011E-3</v>
      </c>
      <c r="R54" t="str">
        <f t="shared" si="16"/>
        <v>$0-$5</v>
      </c>
      <c r="S54" t="str">
        <f t="shared" si="17"/>
        <v>$0-$0.05</v>
      </c>
      <c r="T54">
        <f t="shared" si="18"/>
        <v>5.1999999999999998E-3</v>
      </c>
    </row>
    <row r="55" spans="1:20" x14ac:dyDescent="0.3">
      <c r="A55" t="s">
        <v>352</v>
      </c>
      <c r="B5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55" t="s">
        <v>353</v>
      </c>
      <c r="D55" t="s">
        <v>354</v>
      </c>
      <c r="E55" t="str">
        <f t="shared" si="0"/>
        <v>$0-$50</v>
      </c>
      <c r="F55">
        <v>6.9999999999999999E-4</v>
      </c>
      <c r="G55" t="s">
        <v>355</v>
      </c>
      <c r="H55">
        <f t="shared" si="10"/>
        <v>62547790</v>
      </c>
      <c r="I55" t="s">
        <v>356</v>
      </c>
      <c r="J55">
        <v>9047350</v>
      </c>
      <c r="K55" t="s">
        <v>357</v>
      </c>
      <c r="L55">
        <f>_xlfn.NUMBERVALUE(SUBSTITUTE(SUBSTITUTE(Crypto_Data__2[[#This Row],[Price (USD)]],"$",""),",",""))</f>
        <v>7.9820000000000002E-2</v>
      </c>
      <c r="M55">
        <f t="shared" si="11"/>
        <v>7.9764165084440897E-2</v>
      </c>
      <c r="N55">
        <f t="shared" si="12"/>
        <v>5.5834915559105358E-5</v>
      </c>
      <c r="O55" t="str">
        <f t="shared" si="13"/>
        <v>Up to $10</v>
      </c>
      <c r="P55">
        <f t="shared" si="14"/>
        <v>7.9875913139197438E-2</v>
      </c>
      <c r="Q55">
        <f t="shared" si="15"/>
        <v>7.9875873999999999E-2</v>
      </c>
      <c r="R55" t="str">
        <f t="shared" si="16"/>
        <v>$0-$5</v>
      </c>
      <c r="S55" t="str">
        <f t="shared" si="17"/>
        <v>$0.05-$0.5</v>
      </c>
      <c r="T55">
        <f t="shared" si="18"/>
        <v>6.9999999999999999E-4</v>
      </c>
    </row>
    <row r="56" spans="1:20" x14ac:dyDescent="0.3">
      <c r="A56" t="s">
        <v>358</v>
      </c>
      <c r="B5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56" t="s">
        <v>359</v>
      </c>
      <c r="D56" t="s">
        <v>360</v>
      </c>
      <c r="E56" t="str">
        <f t="shared" si="0"/>
        <v>$0-$50</v>
      </c>
      <c r="F56">
        <v>8.0000000000000004E-4</v>
      </c>
      <c r="G56" t="s">
        <v>362</v>
      </c>
      <c r="H56">
        <f t="shared" si="10"/>
        <v>62328087</v>
      </c>
      <c r="I56" t="s">
        <v>363</v>
      </c>
      <c r="J56">
        <v>2058149</v>
      </c>
      <c r="K56" t="s">
        <v>364</v>
      </c>
      <c r="L56">
        <f>_xlfn.NUMBERVALUE(SUBSTITUTE(SUBSTITUTE(Crypto_Data__2[[#This Row],[Price (USD)]],"$",""),",",""))</f>
        <v>2.9269999999999999E-3</v>
      </c>
      <c r="M56">
        <f t="shared" si="11"/>
        <v>2.9246602717825742E-3</v>
      </c>
      <c r="N56">
        <f t="shared" si="12"/>
        <v>2.3397282174256705E-6</v>
      </c>
      <c r="O56" t="str">
        <f t="shared" si="13"/>
        <v>Up to $10</v>
      </c>
      <c r="P56">
        <f t="shared" si="14"/>
        <v>2.929343474779824E-3</v>
      </c>
      <c r="Q56">
        <f t="shared" si="15"/>
        <v>2.9293415999999996E-3</v>
      </c>
      <c r="R56" t="str">
        <f t="shared" si="16"/>
        <v>$0-$5</v>
      </c>
      <c r="S56" t="str">
        <f t="shared" si="17"/>
        <v>$0-$0.05</v>
      </c>
      <c r="T56">
        <f t="shared" si="18"/>
        <v>8.0000000000000004E-4</v>
      </c>
    </row>
    <row r="57" spans="1:20" x14ac:dyDescent="0.3">
      <c r="A57" t="s">
        <v>365</v>
      </c>
      <c r="B5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57" t="s">
        <v>366</v>
      </c>
      <c r="D57" t="s">
        <v>367</v>
      </c>
      <c r="E57" t="str">
        <f t="shared" si="0"/>
        <v>$0-$50</v>
      </c>
      <c r="F57">
        <v>2.3999999999999998E-3</v>
      </c>
      <c r="G57" t="s">
        <v>368</v>
      </c>
      <c r="H57">
        <f t="shared" si="10"/>
        <v>62064898</v>
      </c>
      <c r="I57" t="s">
        <v>369</v>
      </c>
      <c r="J57">
        <v>76515</v>
      </c>
      <c r="K57" t="s">
        <v>370</v>
      </c>
      <c r="L57">
        <f>_xlfn.NUMBERVALUE(SUBSTITUTE(SUBSTITUTE(Crypto_Data__2[[#This Row],[Price (USD)]],"$",""),",",""))</f>
        <v>11.79</v>
      </c>
      <c r="M57">
        <f t="shared" si="11"/>
        <v>11.761771747805266</v>
      </c>
      <c r="N57">
        <f t="shared" si="12"/>
        <v>2.8228252194733017E-2</v>
      </c>
      <c r="O57" t="str">
        <f t="shared" si="13"/>
        <v>&gt;= $10</v>
      </c>
      <c r="P57">
        <f t="shared" si="14"/>
        <v>11.818364073777063</v>
      </c>
      <c r="Q57">
        <f t="shared" si="15"/>
        <v>11.818295999999998</v>
      </c>
      <c r="R57" t="str">
        <f t="shared" si="16"/>
        <v>Above $5</v>
      </c>
      <c r="S57" t="str">
        <f t="shared" si="17"/>
        <v>$5-$50</v>
      </c>
      <c r="T57">
        <f t="shared" si="18"/>
        <v>2.3999999999999998E-3</v>
      </c>
    </row>
    <row r="58" spans="1:20" x14ac:dyDescent="0.3">
      <c r="A58" t="s">
        <v>371</v>
      </c>
      <c r="B5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58" t="s">
        <v>372</v>
      </c>
      <c r="D58" t="s">
        <v>373</v>
      </c>
      <c r="E58" t="str">
        <f t="shared" si="0"/>
        <v>$0-$50</v>
      </c>
      <c r="F58">
        <v>2.0999999999999999E-3</v>
      </c>
      <c r="G58" t="s">
        <v>375</v>
      </c>
      <c r="H58">
        <f t="shared" si="10"/>
        <v>61786840</v>
      </c>
      <c r="I58" t="s">
        <v>376</v>
      </c>
      <c r="J58">
        <v>8267657</v>
      </c>
      <c r="K58" t="s">
        <v>377</v>
      </c>
      <c r="L58">
        <f>_xlfn.NUMBERVALUE(SUBSTITUTE(SUBSTITUTE(Crypto_Data__2[[#This Row],[Price (USD)]],"$",""),",",""))</f>
        <v>0.18160000000000001</v>
      </c>
      <c r="M58">
        <f t="shared" si="11"/>
        <v>0.18121943917772679</v>
      </c>
      <c r="N58">
        <f t="shared" si="12"/>
        <v>3.8056082227322374E-4</v>
      </c>
      <c r="O58" t="str">
        <f t="shared" si="13"/>
        <v>Up to $10</v>
      </c>
      <c r="P58">
        <f t="shared" si="14"/>
        <v>0.18198216254133681</v>
      </c>
      <c r="Q58">
        <f t="shared" si="15"/>
        <v>0.18198136000000001</v>
      </c>
      <c r="R58" t="str">
        <f t="shared" si="16"/>
        <v>$0-$5</v>
      </c>
      <c r="S58" t="str">
        <f t="shared" si="17"/>
        <v>$0.05-$0.5</v>
      </c>
      <c r="T58">
        <f t="shared" si="18"/>
        <v>2.0999999999999999E-3</v>
      </c>
    </row>
    <row r="59" spans="1:20" x14ac:dyDescent="0.3">
      <c r="A59" t="s">
        <v>378</v>
      </c>
      <c r="B5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59" t="s">
        <v>379</v>
      </c>
      <c r="D59" t="s">
        <v>380</v>
      </c>
      <c r="E59" t="str">
        <f t="shared" si="0"/>
        <v>$0-$50</v>
      </c>
      <c r="F59">
        <v>2.0999999999999999E-3</v>
      </c>
      <c r="G59" t="s">
        <v>381</v>
      </c>
      <c r="H59">
        <f t="shared" si="10"/>
        <v>61648001</v>
      </c>
      <c r="I59" t="s">
        <v>382</v>
      </c>
      <c r="J59">
        <v>27805860</v>
      </c>
      <c r="K59" t="s">
        <v>383</v>
      </c>
      <c r="L59">
        <f>_xlfn.NUMBERVALUE(SUBSTITUTE(SUBSTITUTE(Crypto_Data__2[[#This Row],[Price (USD)]],"$",""),",",""))</f>
        <v>10.119999999999999</v>
      </c>
      <c r="M59">
        <f t="shared" si="11"/>
        <v>10.098792535675083</v>
      </c>
      <c r="N59">
        <f t="shared" si="12"/>
        <v>2.1207464324916714E-2</v>
      </c>
      <c r="O59" t="str">
        <f t="shared" si="13"/>
        <v>&gt;= $10</v>
      </c>
      <c r="P59">
        <f t="shared" si="14"/>
        <v>10.141296723118549</v>
      </c>
      <c r="Q59">
        <f t="shared" si="15"/>
        <v>10.141252</v>
      </c>
      <c r="R59" t="str">
        <f t="shared" si="16"/>
        <v>Above $5</v>
      </c>
      <c r="S59" t="str">
        <f t="shared" si="17"/>
        <v>$5-$50</v>
      </c>
      <c r="T59">
        <f t="shared" si="18"/>
        <v>2.0999999999999999E-3</v>
      </c>
    </row>
    <row r="60" spans="1:20" x14ac:dyDescent="0.3">
      <c r="A60" t="s">
        <v>384</v>
      </c>
      <c r="B6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60" t="s">
        <v>385</v>
      </c>
      <c r="D60" t="s">
        <v>386</v>
      </c>
      <c r="E60" t="str">
        <f t="shared" si="0"/>
        <v>$0-$50</v>
      </c>
      <c r="F60">
        <v>1.4E-3</v>
      </c>
      <c r="G60" t="s">
        <v>388</v>
      </c>
      <c r="H60">
        <f t="shared" si="10"/>
        <v>61619476</v>
      </c>
      <c r="I60" t="s">
        <v>389</v>
      </c>
      <c r="J60">
        <v>213098</v>
      </c>
      <c r="K60" t="s">
        <v>390</v>
      </c>
      <c r="L60">
        <f>_xlfn.NUMBERVALUE(SUBSTITUTE(SUBSTITUTE(Crypto_Data__2[[#This Row],[Price (USD)]],"$",""),",",""))</f>
        <v>5.2100000000000002E-3</v>
      </c>
      <c r="M60">
        <f t="shared" si="11"/>
        <v>5.2027161973237463E-3</v>
      </c>
      <c r="N60">
        <f t="shared" si="12"/>
        <v>7.2838026762538782E-6</v>
      </c>
      <c r="O60" t="str">
        <f t="shared" si="13"/>
        <v>Up to $10</v>
      </c>
      <c r="P60">
        <f t="shared" si="14"/>
        <v>5.2173042259162829E-3</v>
      </c>
      <c r="Q60">
        <f t="shared" si="15"/>
        <v>5.2172940000000008E-3</v>
      </c>
      <c r="R60" t="str">
        <f t="shared" si="16"/>
        <v>$0-$5</v>
      </c>
      <c r="S60" t="str">
        <f t="shared" si="17"/>
        <v>$0-$0.05</v>
      </c>
      <c r="T60">
        <f t="shared" si="18"/>
        <v>1.4E-3</v>
      </c>
    </row>
    <row r="61" spans="1:20" x14ac:dyDescent="0.3">
      <c r="A61" t="s">
        <v>391</v>
      </c>
      <c r="B6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61" t="s">
        <v>392</v>
      </c>
      <c r="D61" t="s">
        <v>393</v>
      </c>
      <c r="E61" t="str">
        <f t="shared" si="0"/>
        <v>$0-$50</v>
      </c>
      <c r="F61">
        <v>3.0999999999999999E-3</v>
      </c>
      <c r="G61" t="s">
        <v>395</v>
      </c>
      <c r="H61">
        <f t="shared" si="10"/>
        <v>61481343</v>
      </c>
      <c r="I61" t="s">
        <v>396</v>
      </c>
      <c r="J61">
        <v>2564140</v>
      </c>
      <c r="K61" t="s">
        <v>397</v>
      </c>
      <c r="L61">
        <f>_xlfn.NUMBERVALUE(SUBSTITUTE(SUBSTITUTE(Crypto_Data__2[[#This Row],[Price (USD)]],"$",""),",",""))</f>
        <v>2.17</v>
      </c>
      <c r="M61">
        <f t="shared" si="11"/>
        <v>2.1632937892533146</v>
      </c>
      <c r="N61">
        <f t="shared" si="12"/>
        <v>6.7062107466853149E-3</v>
      </c>
      <c r="O61" t="str">
        <f t="shared" si="13"/>
        <v>Up to $10</v>
      </c>
      <c r="P61">
        <f t="shared" si="14"/>
        <v>2.1767479185474969</v>
      </c>
      <c r="Q61">
        <f t="shared" si="15"/>
        <v>2.1767270000000001</v>
      </c>
      <c r="R61" t="str">
        <f t="shared" si="16"/>
        <v>$0-$5</v>
      </c>
      <c r="S61" t="str">
        <f t="shared" si="17"/>
        <v>$0.5-$5</v>
      </c>
      <c r="T61">
        <f t="shared" si="18"/>
        <v>3.0999999999999999E-3</v>
      </c>
    </row>
    <row r="62" spans="1:20" x14ac:dyDescent="0.3">
      <c r="A62" t="s">
        <v>398</v>
      </c>
      <c r="B6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62" t="s">
        <v>399</v>
      </c>
      <c r="D62" t="s">
        <v>400</v>
      </c>
      <c r="E62" t="str">
        <f t="shared" si="0"/>
        <v>$0-$50</v>
      </c>
      <c r="F62">
        <v>1.2999999999999999E-2</v>
      </c>
      <c r="G62" t="s">
        <v>402</v>
      </c>
      <c r="H62">
        <f t="shared" si="10"/>
        <v>45704968</v>
      </c>
      <c r="I62" t="s">
        <v>403</v>
      </c>
      <c r="J62">
        <v>35491</v>
      </c>
      <c r="K62" t="s">
        <v>404</v>
      </c>
      <c r="L62">
        <f>_xlfn.NUMBERVALUE(SUBSTITUTE(SUBSTITUTE(Crypto_Data__2[[#This Row],[Price (USD)]],"$",""),",",""))</f>
        <v>0.67269999999999996</v>
      </c>
      <c r="M62">
        <f t="shared" si="11"/>
        <v>0.66406712734452122</v>
      </c>
      <c r="N62">
        <f t="shared" si="12"/>
        <v>8.6328726554787405E-3</v>
      </c>
      <c r="O62" t="str">
        <f t="shared" si="13"/>
        <v>Up to $10</v>
      </c>
      <c r="P62">
        <f t="shared" si="14"/>
        <v>0.68156028368794319</v>
      </c>
      <c r="Q62">
        <f t="shared" si="15"/>
        <v>0.68144509999999991</v>
      </c>
      <c r="R62" t="str">
        <f t="shared" si="16"/>
        <v>$0-$5</v>
      </c>
      <c r="S62" t="str">
        <f t="shared" si="17"/>
        <v>$0.5-$5</v>
      </c>
      <c r="T62">
        <f t="shared" si="18"/>
        <v>1.2999999999999999E-2</v>
      </c>
    </row>
    <row r="63" spans="1:20" x14ac:dyDescent="0.3">
      <c r="A63" t="s">
        <v>1</v>
      </c>
      <c r="B6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63" t="s">
        <v>405</v>
      </c>
      <c r="D63" t="s">
        <v>406</v>
      </c>
      <c r="E63" t="str">
        <f t="shared" si="0"/>
        <v>$0-$50</v>
      </c>
      <c r="F63">
        <v>0</v>
      </c>
      <c r="G63" t="s">
        <v>407</v>
      </c>
      <c r="H63">
        <f t="shared" si="10"/>
        <v>45421680</v>
      </c>
      <c r="I63" t="s">
        <v>408</v>
      </c>
      <c r="J63">
        <v>758766</v>
      </c>
      <c r="K63" t="s">
        <v>409</v>
      </c>
      <c r="L63">
        <f>_xlfn.NUMBERVALUE(SUBSTITUTE(SUBSTITUTE(Crypto_Data__2[[#This Row],[Price (USD)]],"$",""),",",""))</f>
        <v>7.3540000000000003E-3</v>
      </c>
      <c r="M63">
        <f t="shared" si="11"/>
        <v>7.3540000000000003E-3</v>
      </c>
      <c r="N63">
        <f t="shared" si="12"/>
        <v>0</v>
      </c>
      <c r="O63" t="str">
        <f t="shared" si="13"/>
        <v>Up to $10</v>
      </c>
      <c r="P63">
        <f t="shared" si="14"/>
        <v>7.3540000000000003E-3</v>
      </c>
      <c r="Q63">
        <f t="shared" si="15"/>
        <v>7.3540000000000003E-3</v>
      </c>
      <c r="R63" t="str">
        <f t="shared" si="16"/>
        <v>$0-$5</v>
      </c>
      <c r="S63" t="str">
        <f t="shared" si="17"/>
        <v>$0-$0.05</v>
      </c>
      <c r="T63">
        <f t="shared" si="18"/>
        <v>0</v>
      </c>
    </row>
    <row r="64" spans="1:20" x14ac:dyDescent="0.3">
      <c r="A64" t="s">
        <v>410</v>
      </c>
      <c r="B6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64" t="s">
        <v>411</v>
      </c>
      <c r="D64" t="s">
        <v>412</v>
      </c>
      <c r="E64" t="str">
        <f t="shared" si="0"/>
        <v>$0-$50</v>
      </c>
      <c r="F64">
        <v>1.6000000000000001E-3</v>
      </c>
      <c r="G64" t="s">
        <v>413</v>
      </c>
      <c r="H64">
        <f t="shared" si="10"/>
        <v>45403740</v>
      </c>
      <c r="I64" t="s">
        <v>414</v>
      </c>
      <c r="J64">
        <v>10853972</v>
      </c>
      <c r="K64" t="s">
        <v>415</v>
      </c>
      <c r="L64">
        <f>_xlfn.NUMBERVALUE(SUBSTITUTE(SUBSTITUTE(Crypto_Data__2[[#This Row],[Price (USD)]],"$",""),",",""))</f>
        <v>2.359E-2</v>
      </c>
      <c r="M64">
        <f t="shared" si="11"/>
        <v>2.3552316293929711E-2</v>
      </c>
      <c r="N64">
        <f t="shared" si="12"/>
        <v>3.7683706070289202E-5</v>
      </c>
      <c r="O64" t="str">
        <f t="shared" si="13"/>
        <v>Up to $10</v>
      </c>
      <c r="P64">
        <f t="shared" si="14"/>
        <v>2.3627804487179487E-2</v>
      </c>
      <c r="Q64">
        <f t="shared" si="15"/>
        <v>2.3627744000000003E-2</v>
      </c>
      <c r="R64" t="str">
        <f t="shared" si="16"/>
        <v>$0-$5</v>
      </c>
      <c r="S64" t="str">
        <f t="shared" si="17"/>
        <v>$0-$0.05</v>
      </c>
      <c r="T64">
        <f t="shared" si="18"/>
        <v>1.6000000000000001E-3</v>
      </c>
    </row>
    <row r="65" spans="1:20" x14ac:dyDescent="0.3">
      <c r="A65" t="s">
        <v>416</v>
      </c>
      <c r="B6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65" t="s">
        <v>417</v>
      </c>
      <c r="D65" t="s">
        <v>418</v>
      </c>
      <c r="E65" t="str">
        <f t="shared" si="0"/>
        <v>$0-$50</v>
      </c>
      <c r="F65">
        <v>1.1900000000000001E-2</v>
      </c>
      <c r="G65" t="s">
        <v>420</v>
      </c>
      <c r="H65">
        <f t="shared" si="10"/>
        <v>45353098</v>
      </c>
      <c r="I65" t="s">
        <v>421</v>
      </c>
      <c r="J65">
        <v>19016000</v>
      </c>
      <c r="K65" t="s">
        <v>422</v>
      </c>
      <c r="L65">
        <f>_xlfn.NUMBERVALUE(SUBSTITUTE(SUBSTITUTE(Crypto_Data__2[[#This Row],[Price (USD)]],"$",""),",",""))</f>
        <v>6.7409999999999998E-2</v>
      </c>
      <c r="M65">
        <f t="shared" si="11"/>
        <v>6.6617254669433731E-2</v>
      </c>
      <c r="N65">
        <f t="shared" si="12"/>
        <v>7.9274533056626628E-4</v>
      </c>
      <c r="O65" t="str">
        <f t="shared" si="13"/>
        <v>Up to $10</v>
      </c>
      <c r="P65">
        <f t="shared" si="14"/>
        <v>6.8221839894747491E-2</v>
      </c>
      <c r="Q65">
        <f t="shared" si="15"/>
        <v>6.8212178999999998E-2</v>
      </c>
      <c r="R65" t="str">
        <f t="shared" si="16"/>
        <v>$0-$5</v>
      </c>
      <c r="S65" t="str">
        <f t="shared" si="17"/>
        <v>$0.05-$0.5</v>
      </c>
      <c r="T65">
        <f t="shared" si="18"/>
        <v>1.1900000000000001E-2</v>
      </c>
    </row>
    <row r="66" spans="1:20" x14ac:dyDescent="0.3">
      <c r="A66" t="s">
        <v>423</v>
      </c>
      <c r="B6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66" t="s">
        <v>424</v>
      </c>
      <c r="D66" t="s">
        <v>425</v>
      </c>
      <c r="E66" t="str">
        <f t="shared" ref="E66:E129" si="19">IF(VALUE(SUBSTITUTE(D66,"$",""))&lt;=50,"$0-$50","Above $50")</f>
        <v>$0-$50</v>
      </c>
      <c r="F66">
        <v>2.3999999999999998E-3</v>
      </c>
      <c r="G66" t="s">
        <v>426</v>
      </c>
      <c r="H66">
        <f t="shared" ref="H66:H97" si="20">_xlfn.NUMBERVALUE(SUBSTITUTE(SUBSTITUTE(G66,"$",""),",",""))</f>
        <v>45266206</v>
      </c>
      <c r="I66" t="s">
        <v>427</v>
      </c>
      <c r="J66">
        <v>339268</v>
      </c>
      <c r="K66" t="s">
        <v>428</v>
      </c>
      <c r="L66">
        <f>_xlfn.NUMBERVALUE(SUBSTITUTE(SUBSTITUTE(Crypto_Data__2[[#This Row],[Price (USD)]],"$",""),",",""))</f>
        <v>0.2525</v>
      </c>
      <c r="M66">
        <f t="shared" ref="M66:M97" si="21">L66/(1+F66)</f>
        <v>0.2518954509177973</v>
      </c>
      <c r="N66">
        <f t="shared" ref="N66:N97" si="22">L66-M66</f>
        <v>6.0454908220269887E-4</v>
      </c>
      <c r="O66" t="str">
        <f t="shared" ref="O66:O97" si="23">IF(L66&lt;10,"Up to $10","&gt;= $10")</f>
        <v>Up to $10</v>
      </c>
      <c r="P66">
        <f t="shared" ref="P66:P97" si="24">L66/(1-F66)</f>
        <v>0.2531074578989575</v>
      </c>
      <c r="Q66">
        <f t="shared" ref="Q66:Q97" si="25">L66*(1+F66)</f>
        <v>0.253106</v>
      </c>
      <c r="R66" t="str">
        <f t="shared" ref="R66:R97" si="26">IF(L66&lt;=5,"$0-$5","Above $5")</f>
        <v>$0-$5</v>
      </c>
      <c r="S66" t="str">
        <f t="shared" ref="S66:S97" si="27">IF(L66&lt;=0.05,"$0-$0.05",
IF(L66&lt;=0.5,"$0.05-$0.5",
IF(L66&lt;=5,"$0.5-$5",
IF(L66&lt;=50,"$5-$50","&gt;$50"))))</f>
        <v>$0.05-$0.5</v>
      </c>
      <c r="T66">
        <f t="shared" ref="T66:T97" si="28">ABS(F66)</f>
        <v>2.3999999999999998E-3</v>
      </c>
    </row>
    <row r="67" spans="1:20" x14ac:dyDescent="0.3">
      <c r="A67" t="s">
        <v>429</v>
      </c>
      <c r="B6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67" t="s">
        <v>430</v>
      </c>
      <c r="D67" t="s">
        <v>431</v>
      </c>
      <c r="E67" t="str">
        <f t="shared" si="19"/>
        <v>$0-$50</v>
      </c>
      <c r="F67">
        <v>5.8999999999999999E-3</v>
      </c>
      <c r="G67" t="s">
        <v>432</v>
      </c>
      <c r="H67">
        <f t="shared" si="20"/>
        <v>45071702</v>
      </c>
      <c r="I67" t="s">
        <v>433</v>
      </c>
      <c r="J67">
        <v>10189722</v>
      </c>
      <c r="K67" t="s">
        <v>434</v>
      </c>
      <c r="L67">
        <f>_xlfn.NUMBERVALUE(SUBSTITUTE(SUBSTITUTE(Crypto_Data__2[[#This Row],[Price (USD)]],"$",""),",",""))</f>
        <v>1.2370000000000001E-2</v>
      </c>
      <c r="M67">
        <f t="shared" si="21"/>
        <v>1.2297445074063029E-2</v>
      </c>
      <c r="N67">
        <f t="shared" si="22"/>
        <v>7.2554925936971909E-5</v>
      </c>
      <c r="O67" t="str">
        <f t="shared" si="23"/>
        <v>Up to $10</v>
      </c>
      <c r="P67">
        <f t="shared" si="24"/>
        <v>1.2443416155316368E-2</v>
      </c>
      <c r="Q67">
        <f t="shared" si="25"/>
        <v>1.2442983000000001E-2</v>
      </c>
      <c r="R67" t="str">
        <f t="shared" si="26"/>
        <v>$0-$5</v>
      </c>
      <c r="S67" t="str">
        <f t="shared" si="27"/>
        <v>$0-$0.05</v>
      </c>
      <c r="T67">
        <f t="shared" si="28"/>
        <v>5.8999999999999999E-3</v>
      </c>
    </row>
    <row r="68" spans="1:20" x14ac:dyDescent="0.3">
      <c r="A68" t="s">
        <v>435</v>
      </c>
      <c r="B6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68" t="s">
        <v>436</v>
      </c>
      <c r="D68" t="s">
        <v>437</v>
      </c>
      <c r="E68" t="str">
        <f t="shared" si="19"/>
        <v>$0-$50</v>
      </c>
      <c r="F68">
        <v>4.4999999999999997E-3</v>
      </c>
      <c r="G68" t="s">
        <v>438</v>
      </c>
      <c r="H68">
        <f t="shared" si="20"/>
        <v>45027836</v>
      </c>
      <c r="I68" t="s">
        <v>439</v>
      </c>
      <c r="J68">
        <v>401821</v>
      </c>
      <c r="K68" t="s">
        <v>440</v>
      </c>
      <c r="L68">
        <f>_xlfn.NUMBERVALUE(SUBSTITUTE(SUBSTITUTE(Crypto_Data__2[[#This Row],[Price (USD)]],"$",""),",",""))</f>
        <v>0.42049999999999998</v>
      </c>
      <c r="M68">
        <f t="shared" si="21"/>
        <v>0.4186162269785963</v>
      </c>
      <c r="N68">
        <f t="shared" si="22"/>
        <v>1.8837730214036896E-3</v>
      </c>
      <c r="O68" t="str">
        <f t="shared" si="23"/>
        <v>Up to $10</v>
      </c>
      <c r="P68">
        <f t="shared" si="24"/>
        <v>0.42240080361627319</v>
      </c>
      <c r="Q68">
        <f t="shared" si="25"/>
        <v>0.42239224999999997</v>
      </c>
      <c r="R68" t="str">
        <f t="shared" si="26"/>
        <v>$0-$5</v>
      </c>
      <c r="S68" t="str">
        <f t="shared" si="27"/>
        <v>$0.05-$0.5</v>
      </c>
      <c r="T68">
        <f t="shared" si="28"/>
        <v>4.4999999999999997E-3</v>
      </c>
    </row>
    <row r="69" spans="1:20" x14ac:dyDescent="0.3">
      <c r="A69" t="s">
        <v>441</v>
      </c>
      <c r="B6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69" t="s">
        <v>442</v>
      </c>
      <c r="D69" t="s">
        <v>443</v>
      </c>
      <c r="E69" t="str">
        <f t="shared" si="19"/>
        <v>$0-$50</v>
      </c>
      <c r="F69">
        <v>1E-4</v>
      </c>
      <c r="G69" t="s">
        <v>444</v>
      </c>
      <c r="H69">
        <f t="shared" si="20"/>
        <v>44873234</v>
      </c>
      <c r="I69" t="s">
        <v>330</v>
      </c>
      <c r="J69" t="e">
        <v>#VALUE!</v>
      </c>
      <c r="K69" t="s">
        <v>445</v>
      </c>
      <c r="L69">
        <f>_xlfn.NUMBERVALUE(SUBSTITUTE(SUBSTITUTE(Crypto_Data__2[[#This Row],[Price (USD)]],"$",""),",",""))</f>
        <v>0.45019999999999999</v>
      </c>
      <c r="M69">
        <f t="shared" si="21"/>
        <v>0.45015498450154984</v>
      </c>
      <c r="N69">
        <f t="shared" si="22"/>
        <v>4.5015498450151625E-5</v>
      </c>
      <c r="O69" t="str">
        <f t="shared" si="23"/>
        <v>Up to $10</v>
      </c>
      <c r="P69">
        <f t="shared" si="24"/>
        <v>0.45024502450245024</v>
      </c>
      <c r="Q69">
        <f t="shared" si="25"/>
        <v>0.45024502</v>
      </c>
      <c r="R69" t="str">
        <f t="shared" si="26"/>
        <v>$0-$5</v>
      </c>
      <c r="S69" t="str">
        <f t="shared" si="27"/>
        <v>$0.05-$0.5</v>
      </c>
      <c r="T69">
        <f t="shared" si="28"/>
        <v>1E-4</v>
      </c>
    </row>
    <row r="70" spans="1:20" x14ac:dyDescent="0.3">
      <c r="A70" t="s">
        <v>446</v>
      </c>
      <c r="B7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70" t="s">
        <v>447</v>
      </c>
      <c r="D70" t="s">
        <v>448</v>
      </c>
      <c r="E70" t="str">
        <f t="shared" si="19"/>
        <v>$0-$50</v>
      </c>
      <c r="F70">
        <v>4.0000000000000001E-3</v>
      </c>
      <c r="G70" t="s">
        <v>450</v>
      </c>
      <c r="H70">
        <f t="shared" si="20"/>
        <v>44872405</v>
      </c>
      <c r="I70" t="s">
        <v>451</v>
      </c>
      <c r="J70">
        <v>10068683</v>
      </c>
      <c r="K70" t="s">
        <v>452</v>
      </c>
      <c r="L70">
        <f>_xlfn.NUMBERVALUE(SUBSTITUTE(SUBSTITUTE(Crypto_Data__2[[#This Row],[Price (USD)]],"$",""),",",""))</f>
        <v>1.01</v>
      </c>
      <c r="M70">
        <f t="shared" si="21"/>
        <v>1.0059760956175299</v>
      </c>
      <c r="N70">
        <f t="shared" si="22"/>
        <v>4.0239043824701337E-3</v>
      </c>
      <c r="O70" t="str">
        <f t="shared" si="23"/>
        <v>Up to $10</v>
      </c>
      <c r="P70">
        <f t="shared" si="24"/>
        <v>1.0140562248995983</v>
      </c>
      <c r="Q70">
        <f t="shared" si="25"/>
        <v>1.0140400000000001</v>
      </c>
      <c r="R70" t="str">
        <f t="shared" si="26"/>
        <v>$0-$5</v>
      </c>
      <c r="S70" t="str">
        <f t="shared" si="27"/>
        <v>$0.5-$5</v>
      </c>
      <c r="T70">
        <f t="shared" si="28"/>
        <v>4.0000000000000001E-3</v>
      </c>
    </row>
    <row r="71" spans="1:20" x14ac:dyDescent="0.3">
      <c r="A71" t="s">
        <v>453</v>
      </c>
      <c r="B7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71" t="s">
        <v>454</v>
      </c>
      <c r="D71" t="s">
        <v>455</v>
      </c>
      <c r="E71" t="str">
        <f t="shared" si="19"/>
        <v>$0-$50</v>
      </c>
      <c r="F71">
        <v>3.0999999999999999E-3</v>
      </c>
      <c r="G71" t="s">
        <v>456</v>
      </c>
      <c r="H71">
        <f t="shared" si="20"/>
        <v>44330157</v>
      </c>
      <c r="I71" t="s">
        <v>457</v>
      </c>
      <c r="J71">
        <v>68082352</v>
      </c>
      <c r="K71" t="s">
        <v>458</v>
      </c>
      <c r="L71">
        <f>_xlfn.NUMBERVALUE(SUBSTITUTE(SUBSTITUTE(Crypto_Data__2[[#This Row],[Price (USD)]],"$",""),",",""))</f>
        <v>0.249</v>
      </c>
      <c r="M71">
        <f t="shared" si="21"/>
        <v>0.24823048549496557</v>
      </c>
      <c r="N71">
        <f t="shared" si="22"/>
        <v>7.6951450503442986E-4</v>
      </c>
      <c r="O71" t="str">
        <f t="shared" si="23"/>
        <v>Up to $10</v>
      </c>
      <c r="P71">
        <f t="shared" si="24"/>
        <v>0.24977430033102618</v>
      </c>
      <c r="Q71">
        <f t="shared" si="25"/>
        <v>0.24977190000000002</v>
      </c>
      <c r="R71" t="str">
        <f t="shared" si="26"/>
        <v>$0-$5</v>
      </c>
      <c r="S71" t="str">
        <f t="shared" si="27"/>
        <v>$0.05-$0.5</v>
      </c>
      <c r="T71">
        <f t="shared" si="28"/>
        <v>3.0999999999999999E-3</v>
      </c>
    </row>
    <row r="72" spans="1:20" x14ac:dyDescent="0.3">
      <c r="A72" t="s">
        <v>459</v>
      </c>
      <c r="B7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72" t="s">
        <v>460</v>
      </c>
      <c r="D72" t="s">
        <v>461</v>
      </c>
      <c r="E72" t="str">
        <f t="shared" si="19"/>
        <v>$0-$50</v>
      </c>
      <c r="F72">
        <v>2.9999999999999997E-4</v>
      </c>
      <c r="G72" t="s">
        <v>462</v>
      </c>
      <c r="H72">
        <f t="shared" si="20"/>
        <v>35354744</v>
      </c>
      <c r="I72" t="s">
        <v>463</v>
      </c>
      <c r="J72">
        <v>121069</v>
      </c>
      <c r="K72" t="s">
        <v>464</v>
      </c>
      <c r="L72">
        <f>_xlfn.NUMBERVALUE(SUBSTITUTE(SUBSTITUTE(Crypto_Data__2[[#This Row],[Price (USD)]],"$",""),",",""))</f>
        <v>0.1618</v>
      </c>
      <c r="M72">
        <f t="shared" si="21"/>
        <v>0.16175147455763272</v>
      </c>
      <c r="N72">
        <f t="shared" si="22"/>
        <v>4.8525442367275406E-5</v>
      </c>
      <c r="O72" t="str">
        <f t="shared" si="23"/>
        <v>Up to $10</v>
      </c>
      <c r="P72">
        <f t="shared" si="24"/>
        <v>0.1618485545663699</v>
      </c>
      <c r="Q72">
        <f t="shared" si="25"/>
        <v>0.16184853999999999</v>
      </c>
      <c r="R72" t="str">
        <f t="shared" si="26"/>
        <v>$0-$5</v>
      </c>
      <c r="S72" t="str">
        <f t="shared" si="27"/>
        <v>$0.05-$0.5</v>
      </c>
      <c r="T72">
        <f t="shared" si="28"/>
        <v>2.9999999999999997E-4</v>
      </c>
    </row>
    <row r="73" spans="1:20" x14ac:dyDescent="0.3">
      <c r="A73" t="s">
        <v>219</v>
      </c>
      <c r="B7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73" t="s">
        <v>465</v>
      </c>
      <c r="D73" t="s">
        <v>466</v>
      </c>
      <c r="E73" t="str">
        <f t="shared" si="19"/>
        <v>$0-$50</v>
      </c>
      <c r="F73">
        <v>7.9000000000000008E-3</v>
      </c>
      <c r="G73" t="s">
        <v>468</v>
      </c>
      <c r="H73">
        <f t="shared" si="20"/>
        <v>35264904</v>
      </c>
      <c r="I73" t="s">
        <v>469</v>
      </c>
      <c r="J73">
        <v>7857060</v>
      </c>
      <c r="K73" t="s">
        <v>470</v>
      </c>
      <c r="L73">
        <f>_xlfn.NUMBERVALUE(SUBSTITUTE(SUBSTITUTE(Crypto_Data__2[[#This Row],[Price (USD)]],"$",""),",",""))</f>
        <v>0.1431</v>
      </c>
      <c r="M73">
        <f t="shared" si="21"/>
        <v>0.14197837087012602</v>
      </c>
      <c r="N73">
        <f t="shared" si="22"/>
        <v>1.1216291298739856E-3</v>
      </c>
      <c r="O73" t="str">
        <f t="shared" si="23"/>
        <v>Up to $10</v>
      </c>
      <c r="P73">
        <f t="shared" si="24"/>
        <v>0.14423949198669489</v>
      </c>
      <c r="Q73">
        <f t="shared" si="25"/>
        <v>0.14423049000000002</v>
      </c>
      <c r="R73" t="str">
        <f t="shared" si="26"/>
        <v>$0-$5</v>
      </c>
      <c r="S73" t="str">
        <f t="shared" si="27"/>
        <v>$0.05-$0.5</v>
      </c>
      <c r="T73">
        <f t="shared" si="28"/>
        <v>7.9000000000000008E-3</v>
      </c>
    </row>
    <row r="74" spans="1:20" x14ac:dyDescent="0.3">
      <c r="A74" t="s">
        <v>471</v>
      </c>
      <c r="B7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74" t="s">
        <v>472</v>
      </c>
      <c r="D74" t="s">
        <v>473</v>
      </c>
      <c r="E74" t="str">
        <f t="shared" si="19"/>
        <v>$0-$50</v>
      </c>
      <c r="F74">
        <v>1.1999999999999999E-3</v>
      </c>
      <c r="G74" t="s">
        <v>475</v>
      </c>
      <c r="H74">
        <f t="shared" si="20"/>
        <v>35141644</v>
      </c>
      <c r="I74" t="s">
        <v>476</v>
      </c>
      <c r="J74">
        <v>129282</v>
      </c>
      <c r="K74" t="s">
        <v>477</v>
      </c>
      <c r="L74">
        <f>_xlfn.NUMBERVALUE(SUBSTITUTE(SUBSTITUTE(Crypto_Data__2[[#This Row],[Price (USD)]],"$",""),",",""))</f>
        <v>2.0459999999999999E-2</v>
      </c>
      <c r="M74">
        <f t="shared" si="21"/>
        <v>2.0435477427087491E-2</v>
      </c>
      <c r="N74">
        <f t="shared" si="22"/>
        <v>2.4522572912508145E-5</v>
      </c>
      <c r="O74" t="str">
        <f t="shared" si="23"/>
        <v>Up to $10</v>
      </c>
      <c r="P74">
        <f t="shared" si="24"/>
        <v>2.0484581497797357E-2</v>
      </c>
      <c r="Q74">
        <f t="shared" si="25"/>
        <v>2.0484552E-2</v>
      </c>
      <c r="R74" t="str">
        <f t="shared" si="26"/>
        <v>$0-$5</v>
      </c>
      <c r="S74" t="str">
        <f t="shared" si="27"/>
        <v>$0-$0.05</v>
      </c>
      <c r="T74">
        <f t="shared" si="28"/>
        <v>1.1999999999999999E-3</v>
      </c>
    </row>
    <row r="75" spans="1:20" x14ac:dyDescent="0.3">
      <c r="A75" t="s">
        <v>478</v>
      </c>
      <c r="B7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75" t="s">
        <v>479</v>
      </c>
      <c r="D75" t="s">
        <v>480</v>
      </c>
      <c r="E75" t="str">
        <f t="shared" si="19"/>
        <v>$0-$50</v>
      </c>
      <c r="F75">
        <v>2.5000000000000001E-3</v>
      </c>
      <c r="G75" t="s">
        <v>482</v>
      </c>
      <c r="H75">
        <f t="shared" si="20"/>
        <v>35138416</v>
      </c>
      <c r="I75" t="s">
        <v>483</v>
      </c>
      <c r="J75">
        <v>5538677</v>
      </c>
      <c r="K75" t="s">
        <v>484</v>
      </c>
      <c r="L75">
        <f>_xlfn.NUMBERVALUE(SUBSTITUTE(SUBSTITUTE(Crypto_Data__2[[#This Row],[Price (USD)]],"$",""),",",""))</f>
        <v>3.0110000000000001E-2</v>
      </c>
      <c r="M75">
        <f t="shared" si="21"/>
        <v>3.0034912718204493E-2</v>
      </c>
      <c r="N75">
        <f t="shared" si="22"/>
        <v>7.5087281795508526E-5</v>
      </c>
      <c r="O75" t="str">
        <f t="shared" si="23"/>
        <v>Up to $10</v>
      </c>
      <c r="P75">
        <f t="shared" si="24"/>
        <v>3.0185463659147871E-2</v>
      </c>
      <c r="Q75">
        <f t="shared" si="25"/>
        <v>3.0185275000000001E-2</v>
      </c>
      <c r="R75" t="str">
        <f t="shared" si="26"/>
        <v>$0-$5</v>
      </c>
      <c r="S75" t="str">
        <f t="shared" si="27"/>
        <v>$0-$0.05</v>
      </c>
      <c r="T75">
        <f t="shared" si="28"/>
        <v>2.5000000000000001E-3</v>
      </c>
    </row>
    <row r="76" spans="1:20" x14ac:dyDescent="0.3">
      <c r="A76" t="s">
        <v>485</v>
      </c>
      <c r="B7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76" t="s">
        <v>485</v>
      </c>
      <c r="D76" t="s">
        <v>486</v>
      </c>
      <c r="E76" t="str">
        <f t="shared" si="19"/>
        <v>$0-$50</v>
      </c>
      <c r="F76">
        <v>8.9999999999999993E-3</v>
      </c>
      <c r="G76" t="s">
        <v>488</v>
      </c>
      <c r="H76">
        <f t="shared" si="20"/>
        <v>35080411</v>
      </c>
      <c r="I76" t="s">
        <v>489</v>
      </c>
      <c r="J76">
        <v>9778739</v>
      </c>
      <c r="K76" t="s">
        <v>490</v>
      </c>
      <c r="L76">
        <f>_xlfn.NUMBERVALUE(SUBSTITUTE(SUBSTITUTE(Crypto_Data__2[[#This Row],[Price (USD)]],"$",""),",",""))</f>
        <v>0.89870000000000005</v>
      </c>
      <c r="M76">
        <f t="shared" si="21"/>
        <v>0.89068384539147682</v>
      </c>
      <c r="N76">
        <f t="shared" si="22"/>
        <v>8.0161546085232294E-3</v>
      </c>
      <c r="O76" t="str">
        <f t="shared" si="23"/>
        <v>Up to $10</v>
      </c>
      <c r="P76">
        <f t="shared" si="24"/>
        <v>0.90686175580222006</v>
      </c>
      <c r="Q76">
        <f t="shared" si="25"/>
        <v>0.90678829999999999</v>
      </c>
      <c r="R76" t="str">
        <f t="shared" si="26"/>
        <v>$0-$5</v>
      </c>
      <c r="S76" t="str">
        <f t="shared" si="27"/>
        <v>$0.5-$5</v>
      </c>
      <c r="T76">
        <f t="shared" si="28"/>
        <v>8.9999999999999993E-3</v>
      </c>
    </row>
    <row r="77" spans="1:20" x14ac:dyDescent="0.3">
      <c r="A77" t="s">
        <v>491</v>
      </c>
      <c r="B7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77" t="s">
        <v>492</v>
      </c>
      <c r="D77" t="s">
        <v>493</v>
      </c>
      <c r="E77" t="str">
        <f t="shared" si="19"/>
        <v>$0-$50</v>
      </c>
      <c r="F77">
        <v>6.6E-3</v>
      </c>
      <c r="G77" t="s">
        <v>495</v>
      </c>
      <c r="H77">
        <f t="shared" si="20"/>
        <v>35034139</v>
      </c>
      <c r="I77" t="s">
        <v>496</v>
      </c>
      <c r="J77">
        <v>50371789</v>
      </c>
      <c r="K77" t="s">
        <v>497</v>
      </c>
      <c r="L77">
        <f>_xlfn.NUMBERVALUE(SUBSTITUTE(SUBSTITUTE(Crypto_Data__2[[#This Row],[Price (USD)]],"$",""),",",""))</f>
        <v>0.1125</v>
      </c>
      <c r="M77">
        <f t="shared" si="21"/>
        <v>0.11176236836876616</v>
      </c>
      <c r="N77">
        <f t="shared" si="22"/>
        <v>7.3763163123384545E-4</v>
      </c>
      <c r="O77" t="str">
        <f t="shared" si="23"/>
        <v>Up to $10</v>
      </c>
      <c r="P77">
        <f t="shared" si="24"/>
        <v>0.11324743305818402</v>
      </c>
      <c r="Q77">
        <f t="shared" si="25"/>
        <v>0.1132425</v>
      </c>
      <c r="R77" t="str">
        <f t="shared" si="26"/>
        <v>$0-$5</v>
      </c>
      <c r="S77" t="str">
        <f t="shared" si="27"/>
        <v>$0.05-$0.5</v>
      </c>
      <c r="T77">
        <f t="shared" si="28"/>
        <v>6.6E-3</v>
      </c>
    </row>
    <row r="78" spans="1:20" x14ac:dyDescent="0.3">
      <c r="A78" t="s">
        <v>498</v>
      </c>
      <c r="B7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78" t="s">
        <v>499</v>
      </c>
      <c r="D78" t="s">
        <v>500</v>
      </c>
      <c r="E78" t="str">
        <f t="shared" si="19"/>
        <v>$0-$50</v>
      </c>
      <c r="F78">
        <v>1.4E-3</v>
      </c>
      <c r="G78" t="s">
        <v>501</v>
      </c>
      <c r="H78">
        <f t="shared" si="20"/>
        <v>34972612</v>
      </c>
      <c r="I78" t="s">
        <v>502</v>
      </c>
      <c r="J78">
        <v>1391859</v>
      </c>
      <c r="K78" t="s">
        <v>503</v>
      </c>
      <c r="L78">
        <f>_xlfn.NUMBERVALUE(SUBSTITUTE(SUBSTITUTE(Crypto_Data__2[[#This Row],[Price (USD)]],"$",""),",",""))</f>
        <v>6.097E-3</v>
      </c>
      <c r="M78">
        <f t="shared" si="21"/>
        <v>6.0884761334132212E-3</v>
      </c>
      <c r="N78">
        <f t="shared" si="22"/>
        <v>8.5238665867787625E-6</v>
      </c>
      <c r="O78" t="str">
        <f t="shared" si="23"/>
        <v>Up to $10</v>
      </c>
      <c r="P78">
        <f t="shared" si="24"/>
        <v>6.105547766873623E-3</v>
      </c>
      <c r="Q78">
        <f t="shared" si="25"/>
        <v>6.1055358000000007E-3</v>
      </c>
      <c r="R78" t="str">
        <f t="shared" si="26"/>
        <v>$0-$5</v>
      </c>
      <c r="S78" t="str">
        <f t="shared" si="27"/>
        <v>$0-$0.05</v>
      </c>
      <c r="T78">
        <f t="shared" si="28"/>
        <v>1.4E-3</v>
      </c>
    </row>
    <row r="79" spans="1:20" x14ac:dyDescent="0.3">
      <c r="A79" t="s">
        <v>504</v>
      </c>
      <c r="B7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79" t="s">
        <v>505</v>
      </c>
      <c r="D79" t="s">
        <v>506</v>
      </c>
      <c r="E79" t="str">
        <f t="shared" si="19"/>
        <v>$0-$50</v>
      </c>
      <c r="F79">
        <v>2.0000000000000001E-4</v>
      </c>
      <c r="G79" t="s">
        <v>507</v>
      </c>
      <c r="H79">
        <f t="shared" si="20"/>
        <v>34798359</v>
      </c>
      <c r="I79" t="s">
        <v>508</v>
      </c>
      <c r="J79">
        <v>75600</v>
      </c>
      <c r="K79" t="s">
        <v>509</v>
      </c>
      <c r="L79">
        <f>_xlfn.NUMBERVALUE(SUBSTITUTE(SUBSTITUTE(Crypto_Data__2[[#This Row],[Price (USD)]],"$",""),",",""))</f>
        <v>1.23</v>
      </c>
      <c r="M79">
        <f t="shared" si="21"/>
        <v>1.229754049190162</v>
      </c>
      <c r="N79">
        <f t="shared" si="22"/>
        <v>2.4595080983802475E-4</v>
      </c>
      <c r="O79" t="str">
        <f t="shared" si="23"/>
        <v>Up to $10</v>
      </c>
      <c r="P79">
        <f t="shared" si="24"/>
        <v>1.2302460492098419</v>
      </c>
      <c r="Q79">
        <f t="shared" si="25"/>
        <v>1.230246</v>
      </c>
      <c r="R79" t="str">
        <f t="shared" si="26"/>
        <v>$0-$5</v>
      </c>
      <c r="S79" t="str">
        <f t="shared" si="27"/>
        <v>$0.5-$5</v>
      </c>
      <c r="T79">
        <f t="shared" si="28"/>
        <v>2.0000000000000001E-4</v>
      </c>
    </row>
    <row r="80" spans="1:20" x14ac:dyDescent="0.3">
      <c r="A80" t="s">
        <v>510</v>
      </c>
      <c r="B8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80" t="s">
        <v>510</v>
      </c>
      <c r="D80" t="s">
        <v>511</v>
      </c>
      <c r="E80" t="str">
        <f t="shared" si="19"/>
        <v>$0-$50</v>
      </c>
      <c r="F80">
        <v>1.9E-3</v>
      </c>
      <c r="G80" t="s">
        <v>512</v>
      </c>
      <c r="H80">
        <f t="shared" si="20"/>
        <v>34575104</v>
      </c>
      <c r="I80" t="s">
        <v>513</v>
      </c>
      <c r="J80">
        <v>18844509</v>
      </c>
      <c r="K80" t="s">
        <v>514</v>
      </c>
      <c r="L80">
        <f>_xlfn.NUMBERVALUE(SUBSTITUTE(SUBSTITUTE(Crypto_Data__2[[#This Row],[Price (USD)]],"$",""),",",""))</f>
        <v>2.2749999999999999E-2</v>
      </c>
      <c r="M80">
        <f t="shared" si="21"/>
        <v>2.2706856971753668E-2</v>
      </c>
      <c r="N80">
        <f t="shared" si="22"/>
        <v>4.3143028246331316E-5</v>
      </c>
      <c r="O80" t="str">
        <f t="shared" si="23"/>
        <v>Up to $10</v>
      </c>
      <c r="P80">
        <f t="shared" si="24"/>
        <v>2.2793307283839295E-2</v>
      </c>
      <c r="Q80">
        <f t="shared" si="25"/>
        <v>2.2793225E-2</v>
      </c>
      <c r="R80" t="str">
        <f t="shared" si="26"/>
        <v>$0-$5</v>
      </c>
      <c r="S80" t="str">
        <f t="shared" si="27"/>
        <v>$0-$0.05</v>
      </c>
      <c r="T80">
        <f t="shared" si="28"/>
        <v>1.9E-3</v>
      </c>
    </row>
    <row r="81" spans="1:20" x14ac:dyDescent="0.3">
      <c r="A81" t="s">
        <v>515</v>
      </c>
      <c r="B8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81" t="s">
        <v>516</v>
      </c>
      <c r="D81" t="s">
        <v>517</v>
      </c>
      <c r="E81" t="str">
        <f t="shared" si="19"/>
        <v>$0-$50</v>
      </c>
      <c r="F81">
        <v>7.1999999999999998E-3</v>
      </c>
      <c r="G81" t="s">
        <v>519</v>
      </c>
      <c r="H81">
        <f t="shared" si="20"/>
        <v>34508739</v>
      </c>
      <c r="I81" t="s">
        <v>520</v>
      </c>
      <c r="J81">
        <v>8324722</v>
      </c>
      <c r="K81" t="s">
        <v>521</v>
      </c>
      <c r="L81">
        <f>_xlfn.NUMBERVALUE(SUBSTITUTE(SUBSTITUTE(Crypto_Data__2[[#This Row],[Price (USD)]],"$",""),",",""))</f>
        <v>3.687E-2</v>
      </c>
      <c r="M81">
        <f t="shared" si="21"/>
        <v>3.6606433677521838E-2</v>
      </c>
      <c r="N81">
        <f t="shared" si="22"/>
        <v>2.6356632247816203E-4</v>
      </c>
      <c r="O81" t="str">
        <f t="shared" si="23"/>
        <v>Up to $10</v>
      </c>
      <c r="P81">
        <f t="shared" si="24"/>
        <v>3.7137389202256246E-2</v>
      </c>
      <c r="Q81">
        <f t="shared" si="25"/>
        <v>3.7135464000000007E-2</v>
      </c>
      <c r="R81" t="str">
        <f t="shared" si="26"/>
        <v>$0-$5</v>
      </c>
      <c r="S81" t="str">
        <f t="shared" si="27"/>
        <v>$0-$0.05</v>
      </c>
      <c r="T81">
        <f t="shared" si="28"/>
        <v>7.1999999999999998E-3</v>
      </c>
    </row>
    <row r="82" spans="1:20" x14ac:dyDescent="0.3">
      <c r="A82" t="s">
        <v>522</v>
      </c>
      <c r="B8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82" t="s">
        <v>522</v>
      </c>
      <c r="D82" t="s">
        <v>523</v>
      </c>
      <c r="E82" t="str">
        <f t="shared" si="19"/>
        <v>$0-$50</v>
      </c>
      <c r="F82">
        <v>2.1600000000000001E-2</v>
      </c>
      <c r="G82" t="s">
        <v>525</v>
      </c>
      <c r="H82">
        <f t="shared" si="20"/>
        <v>26070319</v>
      </c>
      <c r="I82" t="s">
        <v>526</v>
      </c>
      <c r="J82">
        <v>467706</v>
      </c>
      <c r="K82" t="s">
        <v>527</v>
      </c>
      <c r="L82">
        <f>_xlfn.NUMBERVALUE(SUBSTITUTE(SUBSTITUTE(Crypto_Data__2[[#This Row],[Price (USD)]],"$",""),",",""))</f>
        <v>3.1859999999999999E-2</v>
      </c>
      <c r="M82">
        <f t="shared" si="21"/>
        <v>3.118637431480031E-2</v>
      </c>
      <c r="N82">
        <f t="shared" si="22"/>
        <v>6.7362568519968927E-4</v>
      </c>
      <c r="O82" t="str">
        <f t="shared" si="23"/>
        <v>Up to $10</v>
      </c>
      <c r="P82">
        <f t="shared" si="24"/>
        <v>3.2563368765331148E-2</v>
      </c>
      <c r="Q82">
        <f t="shared" si="25"/>
        <v>3.2548175999999998E-2</v>
      </c>
      <c r="R82" t="str">
        <f t="shared" si="26"/>
        <v>$0-$5</v>
      </c>
      <c r="S82" t="str">
        <f t="shared" si="27"/>
        <v>$0-$0.05</v>
      </c>
      <c r="T82">
        <f t="shared" si="28"/>
        <v>2.1600000000000001E-2</v>
      </c>
    </row>
    <row r="83" spans="1:20" x14ac:dyDescent="0.3">
      <c r="A83" t="s">
        <v>528</v>
      </c>
      <c r="B8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83" t="s">
        <v>529</v>
      </c>
      <c r="D83" t="s">
        <v>530</v>
      </c>
      <c r="E83" t="str">
        <f t="shared" si="19"/>
        <v>$0-$50</v>
      </c>
      <c r="F83">
        <v>1.5900000000000001E-2</v>
      </c>
      <c r="G83" t="s">
        <v>532</v>
      </c>
      <c r="H83">
        <f t="shared" si="20"/>
        <v>26014561</v>
      </c>
      <c r="I83" t="s">
        <v>533</v>
      </c>
      <c r="J83">
        <v>6727701</v>
      </c>
      <c r="K83" t="s">
        <v>534</v>
      </c>
      <c r="L83">
        <f>_xlfn.NUMBERVALUE(SUBSTITUTE(SUBSTITUTE(Crypto_Data__2[[#This Row],[Price (USD)]],"$",""),",",""))</f>
        <v>3.8969999999999999E-3</v>
      </c>
      <c r="M83">
        <f t="shared" si="21"/>
        <v>3.8360074810512845E-3</v>
      </c>
      <c r="N83">
        <f t="shared" si="22"/>
        <v>6.0992518948715328E-5</v>
      </c>
      <c r="O83" t="str">
        <f t="shared" si="23"/>
        <v>Up to $10</v>
      </c>
      <c r="P83">
        <f t="shared" si="24"/>
        <v>3.9599634183517937E-3</v>
      </c>
      <c r="Q83">
        <f t="shared" si="25"/>
        <v>3.9589622999999996E-3</v>
      </c>
      <c r="R83" t="str">
        <f t="shared" si="26"/>
        <v>$0-$5</v>
      </c>
      <c r="S83" t="str">
        <f t="shared" si="27"/>
        <v>$0-$0.05</v>
      </c>
      <c r="T83">
        <f t="shared" si="28"/>
        <v>1.5900000000000001E-2</v>
      </c>
    </row>
    <row r="84" spans="1:20" x14ac:dyDescent="0.3">
      <c r="A84" t="s">
        <v>535</v>
      </c>
      <c r="B8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84" t="s">
        <v>536</v>
      </c>
      <c r="D84" t="s">
        <v>537</v>
      </c>
      <c r="E84" t="str">
        <f t="shared" si="19"/>
        <v>$0-$50</v>
      </c>
      <c r="F84">
        <v>6.7000000000000002E-3</v>
      </c>
      <c r="G84" t="s">
        <v>538</v>
      </c>
      <c r="H84">
        <f t="shared" si="20"/>
        <v>25922954</v>
      </c>
      <c r="I84" t="s">
        <v>539</v>
      </c>
      <c r="J84">
        <v>9982050</v>
      </c>
      <c r="K84" t="s">
        <v>540</v>
      </c>
      <c r="L84">
        <f>_xlfn.NUMBERVALUE(SUBSTITUTE(SUBSTITUTE(Crypto_Data__2[[#This Row],[Price (USD)]],"$",""),",",""))</f>
        <v>0.62219999999999998</v>
      </c>
      <c r="M84">
        <f t="shared" si="21"/>
        <v>0.61805900466871955</v>
      </c>
      <c r="N84">
        <f t="shared" si="22"/>
        <v>4.1409953312804282E-3</v>
      </c>
      <c r="O84" t="str">
        <f t="shared" si="23"/>
        <v>Up to $10</v>
      </c>
      <c r="P84">
        <f t="shared" si="24"/>
        <v>0.62639685895499853</v>
      </c>
      <c r="Q84">
        <f t="shared" si="25"/>
        <v>0.62636873999999998</v>
      </c>
      <c r="R84" t="str">
        <f t="shared" si="26"/>
        <v>$0-$5</v>
      </c>
      <c r="S84" t="str">
        <f t="shared" si="27"/>
        <v>$0.5-$5</v>
      </c>
      <c r="T84">
        <f t="shared" si="28"/>
        <v>6.7000000000000002E-3</v>
      </c>
    </row>
    <row r="85" spans="1:20" x14ac:dyDescent="0.3">
      <c r="A85" t="s">
        <v>541</v>
      </c>
      <c r="B8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85" t="s">
        <v>542</v>
      </c>
      <c r="D85" t="s">
        <v>543</v>
      </c>
      <c r="E85" t="str">
        <f t="shared" si="19"/>
        <v>$0-$50</v>
      </c>
      <c r="F85">
        <v>3.7000000000000002E-3</v>
      </c>
      <c r="G85" t="s">
        <v>545</v>
      </c>
      <c r="H85">
        <f t="shared" si="20"/>
        <v>25873467</v>
      </c>
      <c r="I85" t="s">
        <v>546</v>
      </c>
      <c r="J85">
        <v>11510400</v>
      </c>
      <c r="K85" t="s">
        <v>547</v>
      </c>
      <c r="L85">
        <f>_xlfn.NUMBERVALUE(SUBSTITUTE(SUBSTITUTE(Crypto_Data__2[[#This Row],[Price (USD)]],"$",""),",",""))</f>
        <v>7.6149999999999995E-2</v>
      </c>
      <c r="M85">
        <f t="shared" si="21"/>
        <v>7.5869283650493169E-2</v>
      </c>
      <c r="N85">
        <f t="shared" si="22"/>
        <v>2.8071634950682656E-4</v>
      </c>
      <c r="O85" t="str">
        <f t="shared" si="23"/>
        <v>Up to $10</v>
      </c>
      <c r="P85">
        <f t="shared" si="24"/>
        <v>7.6432801365050693E-2</v>
      </c>
      <c r="Q85">
        <f t="shared" si="25"/>
        <v>7.6431755000000004E-2</v>
      </c>
      <c r="R85" t="str">
        <f t="shared" si="26"/>
        <v>$0-$5</v>
      </c>
      <c r="S85" t="str">
        <f t="shared" si="27"/>
        <v>$0.05-$0.5</v>
      </c>
      <c r="T85">
        <f t="shared" si="28"/>
        <v>3.7000000000000002E-3</v>
      </c>
    </row>
    <row r="86" spans="1:20" x14ac:dyDescent="0.3">
      <c r="A86" t="s">
        <v>548</v>
      </c>
      <c r="B8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86" t="s">
        <v>548</v>
      </c>
      <c r="D86" t="s">
        <v>549</v>
      </c>
      <c r="E86" t="str">
        <f t="shared" si="19"/>
        <v>$0-$50</v>
      </c>
      <c r="F86">
        <v>5.0000000000000001E-3</v>
      </c>
      <c r="G86" t="s">
        <v>550</v>
      </c>
      <c r="H86">
        <f t="shared" si="20"/>
        <v>25788064</v>
      </c>
      <c r="I86" t="s">
        <v>551</v>
      </c>
      <c r="J86">
        <v>1225263</v>
      </c>
      <c r="K86" t="s">
        <v>552</v>
      </c>
      <c r="L86">
        <f>_xlfn.NUMBERVALUE(SUBSTITUTE(SUBSTITUTE(Crypto_Data__2[[#This Row],[Price (USD)]],"$",""),",",""))</f>
        <v>2.1059999999999999E-2</v>
      </c>
      <c r="M86">
        <f t="shared" si="21"/>
        <v>2.0955223880597017E-2</v>
      </c>
      <c r="N86">
        <f t="shared" si="22"/>
        <v>1.0477611940298143E-4</v>
      </c>
      <c r="O86" t="str">
        <f t="shared" si="23"/>
        <v>Up to $10</v>
      </c>
      <c r="P86">
        <f t="shared" si="24"/>
        <v>2.1165829145728642E-2</v>
      </c>
      <c r="Q86">
        <f t="shared" si="25"/>
        <v>2.1165299999999998E-2</v>
      </c>
      <c r="R86" t="str">
        <f t="shared" si="26"/>
        <v>$0-$5</v>
      </c>
      <c r="S86" t="str">
        <f t="shared" si="27"/>
        <v>$0-$0.05</v>
      </c>
      <c r="T86">
        <f t="shared" si="28"/>
        <v>5.0000000000000001E-3</v>
      </c>
    </row>
    <row r="87" spans="1:20" x14ac:dyDescent="0.3">
      <c r="A87" t="s">
        <v>553</v>
      </c>
      <c r="B8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87" t="s">
        <v>554</v>
      </c>
      <c r="D87" t="s">
        <v>555</v>
      </c>
      <c r="E87" t="str">
        <f t="shared" si="19"/>
        <v>$0-$50</v>
      </c>
      <c r="F87">
        <v>1.09E-2</v>
      </c>
      <c r="G87" t="s">
        <v>557</v>
      </c>
      <c r="H87">
        <f t="shared" si="20"/>
        <v>25759341</v>
      </c>
      <c r="I87" t="s">
        <v>558</v>
      </c>
      <c r="J87">
        <v>2642277</v>
      </c>
      <c r="K87" t="s">
        <v>126</v>
      </c>
      <c r="L87">
        <f>_xlfn.NUMBERVALUE(SUBSTITUTE(SUBSTITUTE(Crypto_Data__2[[#This Row],[Price (USD)]],"$",""),",",""))</f>
        <v>2.5749999999999999E-2</v>
      </c>
      <c r="M87">
        <f t="shared" si="21"/>
        <v>2.5472351370066277E-2</v>
      </c>
      <c r="N87">
        <f t="shared" si="22"/>
        <v>2.7764862993372164E-4</v>
      </c>
      <c r="O87" t="str">
        <f t="shared" si="23"/>
        <v>Up to $10</v>
      </c>
      <c r="P87">
        <f t="shared" si="24"/>
        <v>2.6033768071984632E-2</v>
      </c>
      <c r="Q87">
        <f t="shared" si="25"/>
        <v>2.6030674999999996E-2</v>
      </c>
      <c r="R87" t="str">
        <f t="shared" si="26"/>
        <v>$0-$5</v>
      </c>
      <c r="S87" t="str">
        <f t="shared" si="27"/>
        <v>$0-$0.05</v>
      </c>
      <c r="T87">
        <f t="shared" si="28"/>
        <v>1.09E-2</v>
      </c>
    </row>
    <row r="88" spans="1:20" x14ac:dyDescent="0.3">
      <c r="A88" t="s">
        <v>559</v>
      </c>
      <c r="B8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88" t="s">
        <v>560</v>
      </c>
      <c r="D88" t="s">
        <v>561</v>
      </c>
      <c r="E88" t="str">
        <f t="shared" si="19"/>
        <v>$0-$50</v>
      </c>
      <c r="F88">
        <v>0</v>
      </c>
      <c r="G88" t="s">
        <v>562</v>
      </c>
      <c r="H88">
        <f t="shared" si="20"/>
        <v>25730460</v>
      </c>
      <c r="I88" t="s">
        <v>563</v>
      </c>
      <c r="J88">
        <v>64349</v>
      </c>
      <c r="K88" t="s">
        <v>564</v>
      </c>
      <c r="L88">
        <f>_xlfn.NUMBERVALUE(SUBSTITUTE(SUBSTITUTE(Crypto_Data__2[[#This Row],[Price (USD)]],"$",""),",",""))</f>
        <v>0.1085</v>
      </c>
      <c r="M88">
        <f t="shared" si="21"/>
        <v>0.1085</v>
      </c>
      <c r="N88">
        <f t="shared" si="22"/>
        <v>0</v>
      </c>
      <c r="O88" t="str">
        <f t="shared" si="23"/>
        <v>Up to $10</v>
      </c>
      <c r="P88">
        <f t="shared" si="24"/>
        <v>0.1085</v>
      </c>
      <c r="Q88">
        <f t="shared" si="25"/>
        <v>0.1085</v>
      </c>
      <c r="R88" t="str">
        <f t="shared" si="26"/>
        <v>$0-$5</v>
      </c>
      <c r="S88" t="str">
        <f t="shared" si="27"/>
        <v>$0.05-$0.5</v>
      </c>
      <c r="T88">
        <f t="shared" si="28"/>
        <v>0</v>
      </c>
    </row>
    <row r="89" spans="1:20" x14ac:dyDescent="0.3">
      <c r="A89" t="s">
        <v>565</v>
      </c>
      <c r="B8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89" t="s">
        <v>566</v>
      </c>
      <c r="D89" t="s">
        <v>567</v>
      </c>
      <c r="E89" t="str">
        <f t="shared" si="19"/>
        <v>$0-$50</v>
      </c>
      <c r="F89">
        <v>9.1999999999999998E-3</v>
      </c>
      <c r="G89" t="s">
        <v>569</v>
      </c>
      <c r="H89">
        <f t="shared" si="20"/>
        <v>25696932</v>
      </c>
      <c r="I89" t="s">
        <v>570</v>
      </c>
      <c r="J89">
        <v>1704625</v>
      </c>
      <c r="K89" t="s">
        <v>571</v>
      </c>
      <c r="L89">
        <f>_xlfn.NUMBERVALUE(SUBSTITUTE(SUBSTITUTE(Crypto_Data__2[[#This Row],[Price (USD)]],"$",""),",",""))</f>
        <v>9.5560000000000006E-2</v>
      </c>
      <c r="M89">
        <f t="shared" si="21"/>
        <v>9.468886246531906E-2</v>
      </c>
      <c r="N89">
        <f t="shared" si="22"/>
        <v>8.7113753468094635E-4</v>
      </c>
      <c r="O89" t="str">
        <f t="shared" si="23"/>
        <v>Up to $10</v>
      </c>
      <c r="P89">
        <f t="shared" si="24"/>
        <v>9.6447315300767056E-2</v>
      </c>
      <c r="Q89">
        <f t="shared" si="25"/>
        <v>9.6439152000000014E-2</v>
      </c>
      <c r="R89" t="str">
        <f t="shared" si="26"/>
        <v>$0-$5</v>
      </c>
      <c r="S89" t="str">
        <f t="shared" si="27"/>
        <v>$0.05-$0.5</v>
      </c>
      <c r="T89">
        <f t="shared" si="28"/>
        <v>9.1999999999999998E-3</v>
      </c>
    </row>
    <row r="90" spans="1:20" x14ac:dyDescent="0.3">
      <c r="A90" t="s">
        <v>572</v>
      </c>
      <c r="B9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90" t="s">
        <v>573</v>
      </c>
      <c r="D90" t="s">
        <v>574</v>
      </c>
      <c r="E90" t="str">
        <f t="shared" si="19"/>
        <v>$0-$50</v>
      </c>
      <c r="F90">
        <v>5.9999999999999995E-4</v>
      </c>
      <c r="G90" t="s">
        <v>575</v>
      </c>
      <c r="H90">
        <f t="shared" si="20"/>
        <v>25507544</v>
      </c>
      <c r="I90" t="s">
        <v>576</v>
      </c>
      <c r="J90">
        <v>5524554</v>
      </c>
      <c r="K90" t="s">
        <v>577</v>
      </c>
      <c r="L90">
        <f>_xlfn.NUMBERVALUE(SUBSTITUTE(SUBSTITUTE(Crypto_Data__2[[#This Row],[Price (USD)]],"$",""),",",""))</f>
        <v>2.5499999999999998E-2</v>
      </c>
      <c r="M90">
        <f t="shared" si="21"/>
        <v>2.5484709174495301E-2</v>
      </c>
      <c r="N90">
        <f t="shared" si="22"/>
        <v>1.5290825504696987E-5</v>
      </c>
      <c r="O90" t="str">
        <f t="shared" si="23"/>
        <v>Up to $10</v>
      </c>
      <c r="P90">
        <f t="shared" si="24"/>
        <v>2.5515309185511308E-2</v>
      </c>
      <c r="Q90">
        <f t="shared" si="25"/>
        <v>2.5515299999999998E-2</v>
      </c>
      <c r="R90" t="str">
        <f t="shared" si="26"/>
        <v>$0-$5</v>
      </c>
      <c r="S90" t="str">
        <f t="shared" si="27"/>
        <v>$0-$0.05</v>
      </c>
      <c r="T90">
        <f t="shared" si="28"/>
        <v>5.9999999999999995E-4</v>
      </c>
    </row>
    <row r="91" spans="1:20" x14ac:dyDescent="0.3">
      <c r="A91" t="s">
        <v>578</v>
      </c>
      <c r="B9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91" t="s">
        <v>579</v>
      </c>
      <c r="D91" t="s">
        <v>580</v>
      </c>
      <c r="E91" t="str">
        <f t="shared" si="19"/>
        <v>$0-$50</v>
      </c>
      <c r="F91">
        <v>1.2999999999999999E-3</v>
      </c>
      <c r="G91" t="s">
        <v>581</v>
      </c>
      <c r="H91">
        <f t="shared" si="20"/>
        <v>25471481</v>
      </c>
      <c r="I91" t="s">
        <v>582</v>
      </c>
      <c r="J91">
        <v>43405</v>
      </c>
      <c r="K91" t="s">
        <v>583</v>
      </c>
      <c r="L91">
        <f>_xlfn.NUMBERVALUE(SUBSTITUTE(SUBSTITUTE(Crypto_Data__2[[#This Row],[Price (USD)]],"$",""),",",""))</f>
        <v>0.85289999999999999</v>
      </c>
      <c r="M91">
        <f t="shared" si="21"/>
        <v>0.85179266952961141</v>
      </c>
      <c r="N91">
        <f t="shared" si="22"/>
        <v>1.1073304703885789E-3</v>
      </c>
      <c r="O91" t="str">
        <f t="shared" si="23"/>
        <v>Up to $10</v>
      </c>
      <c r="P91">
        <f t="shared" si="24"/>
        <v>0.85401021327726045</v>
      </c>
      <c r="Q91">
        <f t="shared" si="25"/>
        <v>0.85400877000000008</v>
      </c>
      <c r="R91" t="str">
        <f t="shared" si="26"/>
        <v>$0-$5</v>
      </c>
      <c r="S91" t="str">
        <f t="shared" si="27"/>
        <v>$0.5-$5</v>
      </c>
      <c r="T91">
        <f t="shared" si="28"/>
        <v>1.2999999999999999E-3</v>
      </c>
    </row>
    <row r="92" spans="1:20" x14ac:dyDescent="0.3">
      <c r="A92" t="s">
        <v>584</v>
      </c>
      <c r="B9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92" t="s">
        <v>584</v>
      </c>
      <c r="D92" t="s">
        <v>585</v>
      </c>
      <c r="E92" t="str">
        <f t="shared" si="19"/>
        <v>$0-$50</v>
      </c>
      <c r="F92">
        <v>2.9999999999999997E-4</v>
      </c>
      <c r="G92" t="s">
        <v>586</v>
      </c>
      <c r="H92">
        <f t="shared" si="20"/>
        <v>18990853</v>
      </c>
      <c r="I92" t="s">
        <v>587</v>
      </c>
      <c r="J92">
        <v>228239</v>
      </c>
      <c r="K92" t="s">
        <v>588</v>
      </c>
      <c r="L92">
        <f>_xlfn.NUMBERVALUE(SUBSTITUTE(SUBSTITUTE(Crypto_Data__2[[#This Row],[Price (USD)]],"$",""),",",""))</f>
        <v>0.99880000000000002</v>
      </c>
      <c r="M92">
        <f t="shared" si="21"/>
        <v>0.9985004498650405</v>
      </c>
      <c r="N92">
        <f t="shared" si="22"/>
        <v>2.9955013495952532E-4</v>
      </c>
      <c r="O92" t="str">
        <f t="shared" si="23"/>
        <v>Up to $10</v>
      </c>
      <c r="P92">
        <f t="shared" si="24"/>
        <v>0.99909972991897567</v>
      </c>
      <c r="Q92">
        <f t="shared" si="25"/>
        <v>0.99909963999999996</v>
      </c>
      <c r="R92" t="str">
        <f t="shared" si="26"/>
        <v>$0-$5</v>
      </c>
      <c r="S92" t="str">
        <f t="shared" si="27"/>
        <v>$0.5-$5</v>
      </c>
      <c r="T92">
        <f t="shared" si="28"/>
        <v>2.9999999999999997E-4</v>
      </c>
    </row>
    <row r="93" spans="1:20" x14ac:dyDescent="0.3">
      <c r="A93" t="s">
        <v>589</v>
      </c>
      <c r="B9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93" t="s">
        <v>590</v>
      </c>
      <c r="D93" t="s">
        <v>591</v>
      </c>
      <c r="E93" t="str">
        <f t="shared" si="19"/>
        <v>$0-$50</v>
      </c>
      <c r="F93">
        <v>0</v>
      </c>
      <c r="G93" t="s">
        <v>592</v>
      </c>
      <c r="H93">
        <f t="shared" si="20"/>
        <v>18961083</v>
      </c>
      <c r="I93" t="s">
        <v>593</v>
      </c>
      <c r="J93">
        <v>706323</v>
      </c>
      <c r="K93" t="s">
        <v>594</v>
      </c>
      <c r="L93">
        <f>_xlfn.NUMBERVALUE(SUBSTITUTE(SUBSTITUTE(Crypto_Data__2[[#This Row],[Price (USD)]],"$",""),",",""))</f>
        <v>3.7920000000000002E-2</v>
      </c>
      <c r="M93">
        <f t="shared" si="21"/>
        <v>3.7920000000000002E-2</v>
      </c>
      <c r="N93">
        <f t="shared" si="22"/>
        <v>0</v>
      </c>
      <c r="O93" t="str">
        <f t="shared" si="23"/>
        <v>Up to $10</v>
      </c>
      <c r="P93">
        <f t="shared" si="24"/>
        <v>3.7920000000000002E-2</v>
      </c>
      <c r="Q93">
        <f t="shared" si="25"/>
        <v>3.7920000000000002E-2</v>
      </c>
      <c r="R93" t="str">
        <f t="shared" si="26"/>
        <v>$0-$5</v>
      </c>
      <c r="S93" t="str">
        <f t="shared" si="27"/>
        <v>$0-$0.05</v>
      </c>
      <c r="T93">
        <f t="shared" si="28"/>
        <v>0</v>
      </c>
    </row>
    <row r="94" spans="1:20" x14ac:dyDescent="0.3">
      <c r="A94" t="s">
        <v>595</v>
      </c>
      <c r="B9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94" t="s">
        <v>596</v>
      </c>
      <c r="D94" t="s">
        <v>597</v>
      </c>
      <c r="E94" t="str">
        <f t="shared" si="19"/>
        <v>$0-$50</v>
      </c>
      <c r="F94">
        <v>2.9999999999999997E-4</v>
      </c>
      <c r="G94" t="s">
        <v>598</v>
      </c>
      <c r="H94">
        <f t="shared" si="20"/>
        <v>18957669</v>
      </c>
      <c r="I94" t="s">
        <v>599</v>
      </c>
      <c r="J94">
        <v>357326</v>
      </c>
      <c r="K94" t="s">
        <v>600</v>
      </c>
      <c r="L94">
        <f>_xlfn.NUMBERVALUE(SUBSTITUTE(SUBSTITUTE(Crypto_Data__2[[#This Row],[Price (USD)]],"$",""),",",""))</f>
        <v>2.001E-2</v>
      </c>
      <c r="M94">
        <f t="shared" si="21"/>
        <v>2.0003998800359891E-2</v>
      </c>
      <c r="N94">
        <f t="shared" si="22"/>
        <v>6.0011996401085343E-6</v>
      </c>
      <c r="O94" t="str">
        <f t="shared" si="23"/>
        <v>Up to $10</v>
      </c>
      <c r="P94">
        <f t="shared" si="24"/>
        <v>2.0016004801440432E-2</v>
      </c>
      <c r="Q94">
        <f t="shared" si="25"/>
        <v>2.0016003000000001E-2</v>
      </c>
      <c r="R94" t="str">
        <f t="shared" si="26"/>
        <v>$0-$5</v>
      </c>
      <c r="S94" t="str">
        <f t="shared" si="27"/>
        <v>$0-$0.05</v>
      </c>
      <c r="T94">
        <f t="shared" si="28"/>
        <v>2.9999999999999997E-4</v>
      </c>
    </row>
    <row r="95" spans="1:20" x14ac:dyDescent="0.3">
      <c r="A95" t="s">
        <v>601</v>
      </c>
      <c r="B9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95" t="s">
        <v>602</v>
      </c>
      <c r="D95" t="s">
        <v>603</v>
      </c>
      <c r="E95" t="str">
        <f t="shared" si="19"/>
        <v>$0-$50</v>
      </c>
      <c r="F95">
        <v>5.1999999999999998E-3</v>
      </c>
      <c r="G95" t="s">
        <v>604</v>
      </c>
      <c r="H95">
        <f t="shared" si="20"/>
        <v>18817231</v>
      </c>
      <c r="I95" t="s">
        <v>605</v>
      </c>
      <c r="J95">
        <v>5622803</v>
      </c>
      <c r="K95" t="s">
        <v>606</v>
      </c>
      <c r="L95">
        <f>_xlfn.NUMBERVALUE(SUBSTITUTE(SUBSTITUTE(Crypto_Data__2[[#This Row],[Price (USD)]],"$",""),",",""))</f>
        <v>8.1720000000000001E-2</v>
      </c>
      <c r="M95">
        <f t="shared" si="21"/>
        <v>8.1297254277755665E-2</v>
      </c>
      <c r="N95">
        <f t="shared" si="22"/>
        <v>4.2274572224433593E-4</v>
      </c>
      <c r="O95" t="str">
        <f t="shared" si="23"/>
        <v>Up to $10</v>
      </c>
      <c r="P95">
        <f t="shared" si="24"/>
        <v>8.2147165259348606E-2</v>
      </c>
      <c r="Q95">
        <f t="shared" si="25"/>
        <v>8.2144944000000011E-2</v>
      </c>
      <c r="R95" t="str">
        <f t="shared" si="26"/>
        <v>$0-$5</v>
      </c>
      <c r="S95" t="str">
        <f t="shared" si="27"/>
        <v>$0.05-$0.5</v>
      </c>
      <c r="T95">
        <f t="shared" si="28"/>
        <v>5.1999999999999998E-3</v>
      </c>
    </row>
    <row r="96" spans="1:20" x14ac:dyDescent="0.3">
      <c r="A96" t="s">
        <v>607</v>
      </c>
      <c r="B9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96" t="s">
        <v>608</v>
      </c>
      <c r="D96" t="s">
        <v>609</v>
      </c>
      <c r="E96" t="str">
        <f t="shared" si="19"/>
        <v>$0-$50</v>
      </c>
      <c r="F96">
        <v>1.06E-2</v>
      </c>
      <c r="G96" t="s">
        <v>611</v>
      </c>
      <c r="H96">
        <f t="shared" si="20"/>
        <v>18668308</v>
      </c>
      <c r="I96" t="s">
        <v>612</v>
      </c>
      <c r="J96">
        <v>181555</v>
      </c>
      <c r="K96" t="s">
        <v>613</v>
      </c>
      <c r="L96">
        <f>_xlfn.NUMBERVALUE(SUBSTITUTE(SUBSTITUTE(Crypto_Data__2[[#This Row],[Price (USD)]],"$",""),",",""))</f>
        <v>5.5019999999999999E-3</v>
      </c>
      <c r="M96">
        <f t="shared" si="21"/>
        <v>5.4442905204828817E-3</v>
      </c>
      <c r="N96">
        <f t="shared" si="22"/>
        <v>5.7709479517118259E-5</v>
      </c>
      <c r="O96" t="str">
        <f t="shared" si="23"/>
        <v>Up to $10</v>
      </c>
      <c r="P96">
        <f t="shared" si="24"/>
        <v>5.5609460278956942E-3</v>
      </c>
      <c r="Q96">
        <f t="shared" si="25"/>
        <v>5.5603211999999992E-3</v>
      </c>
      <c r="R96" t="str">
        <f t="shared" si="26"/>
        <v>$0-$5</v>
      </c>
      <c r="S96" t="str">
        <f t="shared" si="27"/>
        <v>$0-$0.05</v>
      </c>
      <c r="T96">
        <f t="shared" si="28"/>
        <v>1.06E-2</v>
      </c>
    </row>
    <row r="97" spans="1:20" x14ac:dyDescent="0.3">
      <c r="A97" t="s">
        <v>614</v>
      </c>
      <c r="B9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97" t="s">
        <v>615</v>
      </c>
      <c r="D97" t="s">
        <v>616</v>
      </c>
      <c r="E97" t="str">
        <f t="shared" si="19"/>
        <v>$0-$50</v>
      </c>
      <c r="F97">
        <v>0</v>
      </c>
      <c r="G97" t="s">
        <v>617</v>
      </c>
      <c r="H97">
        <f t="shared" si="20"/>
        <v>18667205</v>
      </c>
      <c r="I97" t="s">
        <v>618</v>
      </c>
      <c r="J97">
        <v>1002</v>
      </c>
      <c r="K97" t="s">
        <v>619</v>
      </c>
      <c r="L97">
        <f>_xlfn.NUMBERVALUE(SUBSTITUTE(SUBSTITUTE(Crypto_Data__2[[#This Row],[Price (USD)]],"$",""),",",""))</f>
        <v>3.8890000000000001E-2</v>
      </c>
      <c r="M97">
        <f t="shared" si="21"/>
        <v>3.8890000000000001E-2</v>
      </c>
      <c r="N97">
        <f t="shared" si="22"/>
        <v>0</v>
      </c>
      <c r="O97" t="str">
        <f t="shared" si="23"/>
        <v>Up to $10</v>
      </c>
      <c r="P97">
        <f t="shared" si="24"/>
        <v>3.8890000000000001E-2</v>
      </c>
      <c r="Q97">
        <f t="shared" si="25"/>
        <v>3.8890000000000001E-2</v>
      </c>
      <c r="R97" t="str">
        <f t="shared" si="26"/>
        <v>$0-$5</v>
      </c>
      <c r="S97" t="str">
        <f t="shared" si="27"/>
        <v>$0-$0.05</v>
      </c>
      <c r="T97">
        <f t="shared" si="28"/>
        <v>0</v>
      </c>
    </row>
    <row r="98" spans="1:20" x14ac:dyDescent="0.3">
      <c r="A98" t="s">
        <v>620</v>
      </c>
      <c r="B9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98" t="s">
        <v>621</v>
      </c>
      <c r="D98" t="s">
        <v>622</v>
      </c>
      <c r="E98" t="str">
        <f t="shared" si="19"/>
        <v>$0-$50</v>
      </c>
      <c r="F98">
        <v>4.0000000000000002E-4</v>
      </c>
      <c r="G98" t="s">
        <v>623</v>
      </c>
      <c r="H98">
        <f t="shared" ref="H98:H129" si="29">_xlfn.NUMBERVALUE(SUBSTITUTE(SUBSTITUTE(G98,"$",""),",",""))</f>
        <v>18606007</v>
      </c>
      <c r="I98" t="s">
        <v>624</v>
      </c>
      <c r="J98">
        <v>189918</v>
      </c>
      <c r="K98" t="s">
        <v>625</v>
      </c>
      <c r="L98">
        <f>_xlfn.NUMBERVALUE(SUBSTITUTE(SUBSTITUTE(Crypto_Data__2[[#This Row],[Price (USD)]],"$",""),",",""))</f>
        <v>9.3699999999999999E-3</v>
      </c>
      <c r="M98">
        <f t="shared" ref="M98:M129" si="30">L98/(1+F98)</f>
        <v>9.3662534986005599E-3</v>
      </c>
      <c r="N98">
        <f t="shared" ref="N98:N129" si="31">L98-M98</f>
        <v>3.7465013994399804E-6</v>
      </c>
      <c r="O98" t="str">
        <f t="shared" ref="O98:O129" si="32">IF(L98&lt;10,"Up to $10","&gt;= $10")</f>
        <v>Up to $10</v>
      </c>
      <c r="P98">
        <f t="shared" ref="P98:P129" si="33">L98/(1-F98)</f>
        <v>9.3737494997999191E-3</v>
      </c>
      <c r="Q98">
        <f t="shared" ref="Q98:Q129" si="34">L98*(1+F98)</f>
        <v>9.3737479999999995E-3</v>
      </c>
      <c r="R98" t="str">
        <f t="shared" ref="R98:R129" si="35">IF(L98&lt;=5,"$0-$5","Above $5")</f>
        <v>$0-$5</v>
      </c>
      <c r="S98" t="str">
        <f t="shared" ref="S98:S129" si="36">IF(L98&lt;=0.05,"$0-$0.05",
IF(L98&lt;=0.5,"$0.05-$0.5",
IF(L98&lt;=5,"$0.5-$5",
IF(L98&lt;=50,"$5-$50","&gt;$50"))))</f>
        <v>$0-$0.05</v>
      </c>
      <c r="T98">
        <f t="shared" ref="T98:T129" si="37">ABS(F98)</f>
        <v>4.0000000000000002E-4</v>
      </c>
    </row>
    <row r="99" spans="1:20" x14ac:dyDescent="0.3">
      <c r="A99" t="s">
        <v>626</v>
      </c>
      <c r="B9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99" t="s">
        <v>627</v>
      </c>
      <c r="D99" t="s">
        <v>628</v>
      </c>
      <c r="E99" t="str">
        <f t="shared" si="19"/>
        <v>$0-$50</v>
      </c>
      <c r="F99">
        <v>6.9999999999999999E-4</v>
      </c>
      <c r="G99" t="s">
        <v>629</v>
      </c>
      <c r="H99">
        <f t="shared" si="29"/>
        <v>18591856</v>
      </c>
      <c r="I99" t="s">
        <v>630</v>
      </c>
      <c r="J99">
        <v>4765140</v>
      </c>
      <c r="K99" t="s">
        <v>631</v>
      </c>
      <c r="L99">
        <f>_xlfn.NUMBERVALUE(SUBSTITUTE(SUBSTITUTE(Crypto_Data__2[[#This Row],[Price (USD)]],"$",""),",",""))</f>
        <v>6.6390000000000005E-2</v>
      </c>
      <c r="M99">
        <f t="shared" si="30"/>
        <v>6.6343559508344169E-2</v>
      </c>
      <c r="N99">
        <f t="shared" si="31"/>
        <v>4.6440491655835858E-5</v>
      </c>
      <c r="O99" t="str">
        <f t="shared" si="32"/>
        <v>Up to $10</v>
      </c>
      <c r="P99">
        <f t="shared" si="33"/>
        <v>6.6436505553887734E-2</v>
      </c>
      <c r="Q99">
        <f t="shared" si="34"/>
        <v>6.6436472999999996E-2</v>
      </c>
      <c r="R99" t="str">
        <f t="shared" si="35"/>
        <v>$0-$5</v>
      </c>
      <c r="S99" t="str">
        <f t="shared" si="36"/>
        <v>$0.05-$0.5</v>
      </c>
      <c r="T99">
        <f t="shared" si="37"/>
        <v>6.9999999999999999E-4</v>
      </c>
    </row>
    <row r="100" spans="1:20" x14ac:dyDescent="0.3">
      <c r="A100" t="s">
        <v>632</v>
      </c>
      <c r="B10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00" t="s">
        <v>633</v>
      </c>
      <c r="D100" t="s">
        <v>634</v>
      </c>
      <c r="E100" t="str">
        <f t="shared" si="19"/>
        <v>$0-$50</v>
      </c>
      <c r="F100">
        <v>7.7000000000000002E-3</v>
      </c>
      <c r="G100" t="s">
        <v>635</v>
      </c>
      <c r="H100">
        <f t="shared" si="29"/>
        <v>18540898</v>
      </c>
      <c r="I100" t="s">
        <v>636</v>
      </c>
      <c r="J100">
        <v>4492892</v>
      </c>
      <c r="K100" t="s">
        <v>637</v>
      </c>
      <c r="L100">
        <f>_xlfn.NUMBERVALUE(SUBSTITUTE(SUBSTITUTE(Crypto_Data__2[[#This Row],[Price (USD)]],"$",""),",",""))</f>
        <v>2.1780000000000001E-2</v>
      </c>
      <c r="M100">
        <f t="shared" si="30"/>
        <v>2.1613575468889552E-2</v>
      </c>
      <c r="N100">
        <f t="shared" si="31"/>
        <v>1.6642453111044911E-4</v>
      </c>
      <c r="O100" t="str">
        <f t="shared" si="32"/>
        <v>Up to $10</v>
      </c>
      <c r="P100">
        <f t="shared" si="33"/>
        <v>2.1949007356646177E-2</v>
      </c>
      <c r="Q100">
        <f t="shared" si="34"/>
        <v>2.1947706000000001E-2</v>
      </c>
      <c r="R100" t="str">
        <f t="shared" si="35"/>
        <v>$0-$5</v>
      </c>
      <c r="S100" t="str">
        <f t="shared" si="36"/>
        <v>$0-$0.05</v>
      </c>
      <c r="T100">
        <f t="shared" si="37"/>
        <v>7.7000000000000002E-3</v>
      </c>
    </row>
    <row r="101" spans="1:20" x14ac:dyDescent="0.3">
      <c r="A101" t="s">
        <v>638</v>
      </c>
      <c r="B10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01" t="s">
        <v>639</v>
      </c>
      <c r="D101" t="s">
        <v>640</v>
      </c>
      <c r="E101" t="str">
        <f t="shared" si="19"/>
        <v>$0-$50</v>
      </c>
      <c r="F101">
        <v>5.0000000000000001E-3</v>
      </c>
      <c r="G101" t="s">
        <v>641</v>
      </c>
      <c r="H101">
        <f t="shared" si="29"/>
        <v>18536240</v>
      </c>
      <c r="I101" t="s">
        <v>642</v>
      </c>
      <c r="J101">
        <v>119734</v>
      </c>
      <c r="K101" t="s">
        <v>643</v>
      </c>
      <c r="L101">
        <f>_xlfn.NUMBERVALUE(SUBSTITUTE(SUBSTITUTE(Crypto_Data__2[[#This Row],[Price (USD)]],"$",""),",",""))</f>
        <v>16.850000000000001</v>
      </c>
      <c r="M101">
        <f t="shared" si="30"/>
        <v>16.766169154228859</v>
      </c>
      <c r="N101">
        <f t="shared" si="31"/>
        <v>8.3830845771142748E-2</v>
      </c>
      <c r="O101" t="str">
        <f t="shared" si="32"/>
        <v>&gt;= $10</v>
      </c>
      <c r="P101">
        <f t="shared" si="33"/>
        <v>16.934673366834172</v>
      </c>
      <c r="Q101">
        <f t="shared" si="34"/>
        <v>16.934249999999999</v>
      </c>
      <c r="R101" t="str">
        <f t="shared" si="35"/>
        <v>Above $5</v>
      </c>
      <c r="S101" t="str">
        <f t="shared" si="36"/>
        <v>$5-$50</v>
      </c>
      <c r="T101">
        <f t="shared" si="37"/>
        <v>5.0000000000000001E-3</v>
      </c>
    </row>
    <row r="102" spans="1:20" x14ac:dyDescent="0.3">
      <c r="A102" t="s">
        <v>644</v>
      </c>
      <c r="B10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02" t="s">
        <v>645</v>
      </c>
      <c r="D102" t="s">
        <v>646</v>
      </c>
      <c r="E102" t="str">
        <f t="shared" si="19"/>
        <v>$0-$50</v>
      </c>
      <c r="F102">
        <v>1.04E-2</v>
      </c>
      <c r="G102" t="s">
        <v>648</v>
      </c>
      <c r="H102">
        <f t="shared" si="29"/>
        <v>14785022</v>
      </c>
      <c r="I102" t="s">
        <v>649</v>
      </c>
      <c r="J102">
        <v>32485149</v>
      </c>
      <c r="K102" t="s">
        <v>650</v>
      </c>
      <c r="L102">
        <f>_xlfn.NUMBERVALUE(SUBSTITUTE(SUBSTITUTE(Crypto_Data__2[[#This Row],[Price (USD)]],"$",""),",",""))</f>
        <v>0.1108</v>
      </c>
      <c r="M102">
        <f t="shared" si="30"/>
        <v>0.10965954077593032</v>
      </c>
      <c r="N102">
        <f t="shared" si="31"/>
        <v>1.1404592240696759E-3</v>
      </c>
      <c r="O102" t="str">
        <f t="shared" si="32"/>
        <v>Up to $10</v>
      </c>
      <c r="P102">
        <f t="shared" si="33"/>
        <v>0.11196443007275667</v>
      </c>
      <c r="Q102">
        <f t="shared" si="34"/>
        <v>0.11195231999999999</v>
      </c>
      <c r="R102" t="str">
        <f t="shared" si="35"/>
        <v>$0-$5</v>
      </c>
      <c r="S102" t="str">
        <f t="shared" si="36"/>
        <v>$0.05-$0.5</v>
      </c>
      <c r="T102">
        <f t="shared" si="37"/>
        <v>1.04E-2</v>
      </c>
    </row>
    <row r="103" spans="1:20" x14ac:dyDescent="0.3">
      <c r="A103" t="s">
        <v>651</v>
      </c>
      <c r="B10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03" t="s">
        <v>651</v>
      </c>
      <c r="D103" t="s">
        <v>652</v>
      </c>
      <c r="E103" t="str">
        <f t="shared" si="19"/>
        <v>$0-$50</v>
      </c>
      <c r="F103">
        <v>4.5999999999999999E-3</v>
      </c>
      <c r="G103" t="s">
        <v>654</v>
      </c>
      <c r="H103">
        <f t="shared" si="29"/>
        <v>14719301</v>
      </c>
      <c r="I103" t="s">
        <v>655</v>
      </c>
      <c r="J103">
        <v>138</v>
      </c>
      <c r="K103" t="s">
        <v>656</v>
      </c>
      <c r="L103">
        <f>_xlfn.NUMBERVALUE(SUBSTITUTE(SUBSTITUTE(Crypto_Data__2[[#This Row],[Price (USD)]],"$",""),",",""))</f>
        <v>7.0130000000000001E-3</v>
      </c>
      <c r="M103">
        <f t="shared" si="30"/>
        <v>6.9808879155882943E-3</v>
      </c>
      <c r="N103">
        <f t="shared" si="31"/>
        <v>3.2112084411705863E-5</v>
      </c>
      <c r="O103" t="str">
        <f t="shared" si="32"/>
        <v>Up to $10</v>
      </c>
      <c r="P103">
        <f t="shared" si="33"/>
        <v>7.0454088808519196E-3</v>
      </c>
      <c r="Q103">
        <f t="shared" si="34"/>
        <v>7.0452597999999993E-3</v>
      </c>
      <c r="R103" t="str">
        <f t="shared" si="35"/>
        <v>$0-$5</v>
      </c>
      <c r="S103" t="str">
        <f t="shared" si="36"/>
        <v>$0-$0.05</v>
      </c>
      <c r="T103">
        <f t="shared" si="37"/>
        <v>4.5999999999999999E-3</v>
      </c>
    </row>
    <row r="104" spans="1:20" x14ac:dyDescent="0.3">
      <c r="A104" t="s">
        <v>657</v>
      </c>
      <c r="B10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04" t="s">
        <v>658</v>
      </c>
      <c r="D104" t="s">
        <v>659</v>
      </c>
      <c r="E104" t="str">
        <f t="shared" si="19"/>
        <v>$0-$50</v>
      </c>
      <c r="F104">
        <v>1.1000000000000001E-3</v>
      </c>
      <c r="G104" t="s">
        <v>660</v>
      </c>
      <c r="H104">
        <f t="shared" si="29"/>
        <v>14681529</v>
      </c>
      <c r="I104" t="s">
        <v>661</v>
      </c>
      <c r="J104">
        <v>499518</v>
      </c>
      <c r="K104" t="s">
        <v>662</v>
      </c>
      <c r="L104">
        <f>_xlfn.NUMBERVALUE(SUBSTITUTE(SUBSTITUTE(Crypto_Data__2[[#This Row],[Price (USD)]],"$",""),",",""))</f>
        <v>3.612E-4</v>
      </c>
      <c r="M104">
        <f t="shared" si="30"/>
        <v>3.6080311657177099E-4</v>
      </c>
      <c r="N104">
        <f t="shared" si="31"/>
        <v>3.968834282290089E-7</v>
      </c>
      <c r="O104" t="str">
        <f t="shared" si="32"/>
        <v>Up to $10</v>
      </c>
      <c r="P104">
        <f t="shared" si="33"/>
        <v>3.615977575332866E-4</v>
      </c>
      <c r="Q104">
        <f t="shared" si="34"/>
        <v>3.6159732000000004E-4</v>
      </c>
      <c r="R104" t="str">
        <f t="shared" si="35"/>
        <v>$0-$5</v>
      </c>
      <c r="S104" t="str">
        <f t="shared" si="36"/>
        <v>$0-$0.05</v>
      </c>
      <c r="T104">
        <f t="shared" si="37"/>
        <v>1.1000000000000001E-3</v>
      </c>
    </row>
    <row r="105" spans="1:20" x14ac:dyDescent="0.3">
      <c r="A105" t="s">
        <v>663</v>
      </c>
      <c r="B10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05" t="s">
        <v>664</v>
      </c>
      <c r="D105" t="s">
        <v>665</v>
      </c>
      <c r="E105" t="str">
        <f t="shared" si="19"/>
        <v>$0-$50</v>
      </c>
      <c r="F105">
        <v>5.1999999999999998E-3</v>
      </c>
      <c r="G105" t="s">
        <v>666</v>
      </c>
      <c r="H105">
        <f t="shared" si="29"/>
        <v>14616635</v>
      </c>
      <c r="I105" t="s">
        <v>667</v>
      </c>
      <c r="J105">
        <v>6112676</v>
      </c>
      <c r="K105" t="s">
        <v>668</v>
      </c>
      <c r="L105">
        <f>_xlfn.NUMBERVALUE(SUBSTITUTE(SUBSTITUTE(Crypto_Data__2[[#This Row],[Price (USD)]],"$",""),",",""))</f>
        <v>2.118E-4</v>
      </c>
      <c r="M105">
        <f t="shared" si="30"/>
        <v>2.107043374452845E-4</v>
      </c>
      <c r="N105">
        <f t="shared" si="31"/>
        <v>1.0956625547154937E-6</v>
      </c>
      <c r="O105" t="str">
        <f t="shared" si="32"/>
        <v>Up to $10</v>
      </c>
      <c r="P105">
        <f t="shared" si="33"/>
        <v>2.129071170084439E-4</v>
      </c>
      <c r="Q105">
        <f t="shared" si="34"/>
        <v>2.1290136000000001E-4</v>
      </c>
      <c r="R105" t="str">
        <f t="shared" si="35"/>
        <v>$0-$5</v>
      </c>
      <c r="S105" t="str">
        <f t="shared" si="36"/>
        <v>$0-$0.05</v>
      </c>
      <c r="T105">
        <f t="shared" si="37"/>
        <v>5.1999999999999998E-3</v>
      </c>
    </row>
    <row r="106" spans="1:20" x14ac:dyDescent="0.3">
      <c r="A106" t="s">
        <v>669</v>
      </c>
      <c r="B10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06" t="s">
        <v>670</v>
      </c>
      <c r="D106" t="s">
        <v>671</v>
      </c>
      <c r="E106" t="str">
        <f t="shared" si="19"/>
        <v>$0-$50</v>
      </c>
      <c r="F106">
        <v>0</v>
      </c>
      <c r="G106" t="s">
        <v>672</v>
      </c>
      <c r="H106">
        <f t="shared" si="29"/>
        <v>14606826</v>
      </c>
      <c r="I106" t="s">
        <v>673</v>
      </c>
      <c r="J106">
        <v>4251361</v>
      </c>
      <c r="K106" t="s">
        <v>674</v>
      </c>
      <c r="L106">
        <f>_xlfn.NUMBERVALUE(SUBSTITUTE(SUBSTITUTE(Crypto_Data__2[[#This Row],[Price (USD)]],"$",""),",",""))</f>
        <v>3.322E-2</v>
      </c>
      <c r="M106">
        <f t="shared" si="30"/>
        <v>3.322E-2</v>
      </c>
      <c r="N106">
        <f t="shared" si="31"/>
        <v>0</v>
      </c>
      <c r="O106" t="str">
        <f t="shared" si="32"/>
        <v>Up to $10</v>
      </c>
      <c r="P106">
        <f t="shared" si="33"/>
        <v>3.322E-2</v>
      </c>
      <c r="Q106">
        <f t="shared" si="34"/>
        <v>3.322E-2</v>
      </c>
      <c r="R106" t="str">
        <f t="shared" si="35"/>
        <v>$0-$5</v>
      </c>
      <c r="S106" t="str">
        <f t="shared" si="36"/>
        <v>$0-$0.05</v>
      </c>
      <c r="T106">
        <f t="shared" si="37"/>
        <v>0</v>
      </c>
    </row>
    <row r="107" spans="1:20" x14ac:dyDescent="0.3">
      <c r="A107" t="s">
        <v>675</v>
      </c>
      <c r="B10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07" t="s">
        <v>676</v>
      </c>
      <c r="D107" t="s">
        <v>677</v>
      </c>
      <c r="E107" t="str">
        <f t="shared" si="19"/>
        <v>$0-$50</v>
      </c>
      <c r="F107">
        <v>1E-4</v>
      </c>
      <c r="G107" t="s">
        <v>678</v>
      </c>
      <c r="H107">
        <f t="shared" si="29"/>
        <v>14570562</v>
      </c>
      <c r="I107" t="s">
        <v>679</v>
      </c>
      <c r="J107">
        <v>316134</v>
      </c>
      <c r="K107" t="s">
        <v>680</v>
      </c>
      <c r="L107">
        <f>_xlfn.NUMBERVALUE(SUBSTITUTE(SUBSTITUTE(Crypto_Data__2[[#This Row],[Price (USD)]],"$",""),",",""))</f>
        <v>2.9870000000000001E-2</v>
      </c>
      <c r="M107">
        <f t="shared" si="30"/>
        <v>2.9867013298670135E-2</v>
      </c>
      <c r="N107">
        <f t="shared" si="31"/>
        <v>2.9867013298656708E-6</v>
      </c>
      <c r="O107" t="str">
        <f t="shared" si="32"/>
        <v>Up to $10</v>
      </c>
      <c r="P107">
        <f t="shared" si="33"/>
        <v>2.9872987298729874E-2</v>
      </c>
      <c r="Q107">
        <f t="shared" si="34"/>
        <v>2.9872987E-2</v>
      </c>
      <c r="R107" t="str">
        <f t="shared" si="35"/>
        <v>$0-$5</v>
      </c>
      <c r="S107" t="str">
        <f t="shared" si="36"/>
        <v>$0-$0.05</v>
      </c>
      <c r="T107">
        <f t="shared" si="37"/>
        <v>1E-4</v>
      </c>
    </row>
    <row r="108" spans="1:20" x14ac:dyDescent="0.3">
      <c r="A108" t="s">
        <v>681</v>
      </c>
      <c r="B10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08" t="s">
        <v>682</v>
      </c>
      <c r="D108" t="s">
        <v>683</v>
      </c>
      <c r="E108" t="str">
        <f t="shared" si="19"/>
        <v>$0-$50</v>
      </c>
      <c r="F108">
        <v>4.1000000000000003E-3</v>
      </c>
      <c r="G108" t="s">
        <v>685</v>
      </c>
      <c r="H108">
        <f t="shared" si="29"/>
        <v>14516193</v>
      </c>
      <c r="I108" t="s">
        <v>686</v>
      </c>
      <c r="J108">
        <v>542805</v>
      </c>
      <c r="K108" t="s">
        <v>687</v>
      </c>
      <c r="L108">
        <f>_xlfn.NUMBERVALUE(SUBSTITUTE(SUBSTITUTE(Crypto_Data__2[[#This Row],[Price (USD)]],"$",""),",",""))</f>
        <v>7.1612999999999996E-2</v>
      </c>
      <c r="M108">
        <f t="shared" si="30"/>
        <v>7.1320585599043917E-2</v>
      </c>
      <c r="N108">
        <f t="shared" si="31"/>
        <v>2.9241440095607862E-4</v>
      </c>
      <c r="O108" t="str">
        <f t="shared" si="32"/>
        <v>Up to $10</v>
      </c>
      <c r="P108">
        <f t="shared" si="33"/>
        <v>7.1907822070489E-2</v>
      </c>
      <c r="Q108">
        <f t="shared" si="34"/>
        <v>7.1906613299999991E-2</v>
      </c>
      <c r="R108" t="str">
        <f t="shared" si="35"/>
        <v>$0-$5</v>
      </c>
      <c r="S108" t="str">
        <f t="shared" si="36"/>
        <v>$0.05-$0.5</v>
      </c>
      <c r="T108">
        <f t="shared" si="37"/>
        <v>4.1000000000000003E-3</v>
      </c>
    </row>
    <row r="109" spans="1:20" x14ac:dyDescent="0.3">
      <c r="A109" t="s">
        <v>688</v>
      </c>
      <c r="B10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09" t="s">
        <v>689</v>
      </c>
      <c r="D109" t="s">
        <v>690</v>
      </c>
      <c r="E109" t="str">
        <f t="shared" si="19"/>
        <v>$0-$50</v>
      </c>
      <c r="F109">
        <v>1.4E-3</v>
      </c>
      <c r="G109" t="s">
        <v>691</v>
      </c>
      <c r="H109">
        <f t="shared" si="29"/>
        <v>14440722</v>
      </c>
      <c r="I109" t="s">
        <v>692</v>
      </c>
      <c r="J109">
        <v>1406872</v>
      </c>
      <c r="K109" t="s">
        <v>318</v>
      </c>
      <c r="L109">
        <f>_xlfn.NUMBERVALUE(SUBSTITUTE(SUBSTITUTE(Crypto_Data__2[[#This Row],[Price (USD)]],"$",""),",",""))</f>
        <v>1.444E-2</v>
      </c>
      <c r="M109">
        <f t="shared" si="30"/>
        <v>1.4419812262832035E-2</v>
      </c>
      <c r="N109">
        <f t="shared" si="31"/>
        <v>2.0187737167965195E-5</v>
      </c>
      <c r="O109" t="str">
        <f t="shared" si="32"/>
        <v>Up to $10</v>
      </c>
      <c r="P109">
        <f t="shared" si="33"/>
        <v>1.4460244342078909E-2</v>
      </c>
      <c r="Q109">
        <f t="shared" si="34"/>
        <v>1.4460216000000001E-2</v>
      </c>
      <c r="R109" t="str">
        <f t="shared" si="35"/>
        <v>$0-$5</v>
      </c>
      <c r="S109" t="str">
        <f t="shared" si="36"/>
        <v>$0-$0.05</v>
      </c>
      <c r="T109">
        <f t="shared" si="37"/>
        <v>1.4E-3</v>
      </c>
    </row>
    <row r="110" spans="1:20" x14ac:dyDescent="0.3">
      <c r="A110" t="s">
        <v>693</v>
      </c>
      <c r="B11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10" t="s">
        <v>694</v>
      </c>
      <c r="D110" t="s">
        <v>695</v>
      </c>
      <c r="E110" t="str">
        <f t="shared" si="19"/>
        <v>$0-$50</v>
      </c>
      <c r="F110">
        <v>8.0999999999999996E-3</v>
      </c>
      <c r="G110" t="s">
        <v>697</v>
      </c>
      <c r="H110">
        <f t="shared" si="29"/>
        <v>14425837</v>
      </c>
      <c r="I110" t="s">
        <v>698</v>
      </c>
      <c r="J110">
        <v>686075</v>
      </c>
      <c r="K110" t="s">
        <v>699</v>
      </c>
      <c r="L110">
        <f>_xlfn.NUMBERVALUE(SUBSTITUTE(SUBSTITUTE(Crypto_Data__2[[#This Row],[Price (USD)]],"$",""),",",""))</f>
        <v>0.1963</v>
      </c>
      <c r="M110">
        <f t="shared" si="30"/>
        <v>0.19472274575934928</v>
      </c>
      <c r="N110">
        <f t="shared" si="31"/>
        <v>1.5772542406507217E-3</v>
      </c>
      <c r="O110" t="str">
        <f t="shared" si="32"/>
        <v>Up to $10</v>
      </c>
      <c r="P110">
        <f t="shared" si="33"/>
        <v>0.19790301441677588</v>
      </c>
      <c r="Q110">
        <f t="shared" si="34"/>
        <v>0.19789002999999999</v>
      </c>
      <c r="R110" t="str">
        <f t="shared" si="35"/>
        <v>$0-$5</v>
      </c>
      <c r="S110" t="str">
        <f t="shared" si="36"/>
        <v>$0.05-$0.5</v>
      </c>
      <c r="T110">
        <f t="shared" si="37"/>
        <v>8.0999999999999996E-3</v>
      </c>
    </row>
    <row r="111" spans="1:20" x14ac:dyDescent="0.3">
      <c r="A111" t="s">
        <v>700</v>
      </c>
      <c r="B11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11" t="s">
        <v>701</v>
      </c>
      <c r="D111" t="s">
        <v>702</v>
      </c>
      <c r="E111" t="str">
        <f t="shared" si="19"/>
        <v>$0-$50</v>
      </c>
      <c r="F111">
        <v>1.1999999999999999E-3</v>
      </c>
      <c r="G111" t="s">
        <v>703</v>
      </c>
      <c r="H111">
        <f t="shared" si="29"/>
        <v>14389863</v>
      </c>
      <c r="I111" t="s">
        <v>704</v>
      </c>
      <c r="J111">
        <v>34241</v>
      </c>
      <c r="K111" t="s">
        <v>705</v>
      </c>
      <c r="L111">
        <f>_xlfn.NUMBERVALUE(SUBSTITUTE(SUBSTITUTE(Crypto_Data__2[[#This Row],[Price (USD)]],"$",""),",",""))</f>
        <v>1.4829999999999999E-2</v>
      </c>
      <c r="M111">
        <f t="shared" si="30"/>
        <v>1.4812225329604472E-2</v>
      </c>
      <c r="N111">
        <f t="shared" si="31"/>
        <v>1.7774670395527201E-5</v>
      </c>
      <c r="O111" t="str">
        <f t="shared" si="32"/>
        <v>Up to $10</v>
      </c>
      <c r="P111">
        <f t="shared" si="33"/>
        <v>1.4847817380857027E-2</v>
      </c>
      <c r="Q111">
        <f t="shared" si="34"/>
        <v>1.4847796E-2</v>
      </c>
      <c r="R111" t="str">
        <f t="shared" si="35"/>
        <v>$0-$5</v>
      </c>
      <c r="S111" t="str">
        <f t="shared" si="36"/>
        <v>$0-$0.05</v>
      </c>
      <c r="T111">
        <f t="shared" si="37"/>
        <v>1.1999999999999999E-3</v>
      </c>
    </row>
    <row r="112" spans="1:20" x14ac:dyDescent="0.3">
      <c r="A112" t="s">
        <v>706</v>
      </c>
      <c r="B11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12" t="s">
        <v>707</v>
      </c>
      <c r="D112" t="s">
        <v>708</v>
      </c>
      <c r="E112" t="str">
        <f t="shared" si="19"/>
        <v>$0-$50</v>
      </c>
      <c r="F112">
        <v>2.8E-3</v>
      </c>
      <c r="G112" t="s">
        <v>710</v>
      </c>
      <c r="H112">
        <f t="shared" si="29"/>
        <v>11345859</v>
      </c>
      <c r="I112" t="s">
        <v>711</v>
      </c>
      <c r="J112">
        <v>810252</v>
      </c>
      <c r="K112" t="s">
        <v>712</v>
      </c>
      <c r="L112">
        <f>_xlfn.NUMBERVALUE(SUBSTITUTE(SUBSTITUTE(Crypto_Data__2[[#This Row],[Price (USD)]],"$",""),",",""))</f>
        <v>4.3020000000000003E-2</v>
      </c>
      <c r="M112">
        <f t="shared" si="30"/>
        <v>4.2899880335061834E-2</v>
      </c>
      <c r="N112">
        <f t="shared" si="31"/>
        <v>1.2011966493816889E-4</v>
      </c>
      <c r="O112" t="str">
        <f t="shared" si="32"/>
        <v>Up to $10</v>
      </c>
      <c r="P112">
        <f t="shared" si="33"/>
        <v>4.3140794223826717E-2</v>
      </c>
      <c r="Q112">
        <f t="shared" si="34"/>
        <v>4.3140456000000001E-2</v>
      </c>
      <c r="R112" t="str">
        <f t="shared" si="35"/>
        <v>$0-$5</v>
      </c>
      <c r="S112" t="str">
        <f t="shared" si="36"/>
        <v>$0-$0.05</v>
      </c>
      <c r="T112">
        <f t="shared" si="37"/>
        <v>2.8E-3</v>
      </c>
    </row>
    <row r="113" spans="1:20" x14ac:dyDescent="0.3">
      <c r="A113" t="s">
        <v>713</v>
      </c>
      <c r="B11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13" t="s">
        <v>714</v>
      </c>
      <c r="D113" t="s">
        <v>715</v>
      </c>
      <c r="E113" t="str">
        <f t="shared" si="19"/>
        <v>$0-$50</v>
      </c>
      <c r="F113">
        <v>1.0999999999999999E-2</v>
      </c>
      <c r="G113" t="s">
        <v>717</v>
      </c>
      <c r="H113">
        <f t="shared" si="29"/>
        <v>11304052</v>
      </c>
      <c r="I113" t="s">
        <v>718</v>
      </c>
      <c r="J113">
        <v>8799764</v>
      </c>
      <c r="K113" t="s">
        <v>719</v>
      </c>
      <c r="L113">
        <f>_xlfn.NUMBERVALUE(SUBSTITUTE(SUBSTITUTE(Crypto_Data__2[[#This Row],[Price (USD)]],"$",""),",",""))</f>
        <v>1.686E-2</v>
      </c>
      <c r="M113">
        <f t="shared" si="30"/>
        <v>1.6676557863501484E-2</v>
      </c>
      <c r="N113">
        <f t="shared" si="31"/>
        <v>1.8344213649851629E-4</v>
      </c>
      <c r="O113" t="str">
        <f t="shared" si="32"/>
        <v>Up to $10</v>
      </c>
      <c r="P113">
        <f t="shared" si="33"/>
        <v>1.7047522750252779E-2</v>
      </c>
      <c r="Q113">
        <f t="shared" si="34"/>
        <v>1.7045459999999998E-2</v>
      </c>
      <c r="R113" t="str">
        <f t="shared" si="35"/>
        <v>$0-$5</v>
      </c>
      <c r="S113" t="str">
        <f t="shared" si="36"/>
        <v>$0-$0.05</v>
      </c>
      <c r="T113">
        <f t="shared" si="37"/>
        <v>1.0999999999999999E-2</v>
      </c>
    </row>
    <row r="114" spans="1:20" x14ac:dyDescent="0.3">
      <c r="A114" t="s">
        <v>720</v>
      </c>
      <c r="B11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14" t="s">
        <v>721</v>
      </c>
      <c r="D114" t="s">
        <v>722</v>
      </c>
      <c r="E114" t="str">
        <f t="shared" si="19"/>
        <v>$0-$50</v>
      </c>
      <c r="F114">
        <v>5.0000000000000001E-4</v>
      </c>
      <c r="G114" t="s">
        <v>723</v>
      </c>
      <c r="H114">
        <f t="shared" si="29"/>
        <v>11274163</v>
      </c>
      <c r="I114" t="s">
        <v>724</v>
      </c>
      <c r="J114">
        <v>6405267</v>
      </c>
      <c r="K114" t="s">
        <v>725</v>
      </c>
      <c r="L114">
        <f>_xlfn.NUMBERVALUE(SUBSTITUTE(SUBSTITUTE(Crypto_Data__2[[#This Row],[Price (USD)]],"$",""),",",""))</f>
        <v>5.6370000000000003E-2</v>
      </c>
      <c r="M114">
        <f t="shared" si="30"/>
        <v>5.6341829085457276E-2</v>
      </c>
      <c r="N114">
        <f t="shared" si="31"/>
        <v>2.8170914542727243E-5</v>
      </c>
      <c r="O114" t="str">
        <f t="shared" si="32"/>
        <v>Up to $10</v>
      </c>
      <c r="P114">
        <f t="shared" si="33"/>
        <v>5.6398199099549774E-2</v>
      </c>
      <c r="Q114">
        <f t="shared" si="34"/>
        <v>5.6398185000000003E-2</v>
      </c>
      <c r="R114" t="str">
        <f t="shared" si="35"/>
        <v>$0-$5</v>
      </c>
      <c r="S114" t="str">
        <f t="shared" si="36"/>
        <v>$0.05-$0.5</v>
      </c>
      <c r="T114">
        <f t="shared" si="37"/>
        <v>5.0000000000000001E-4</v>
      </c>
    </row>
    <row r="115" spans="1:20" x14ac:dyDescent="0.3">
      <c r="A115" t="s">
        <v>726</v>
      </c>
      <c r="B11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15" t="s">
        <v>727</v>
      </c>
      <c r="D115" t="s">
        <v>728</v>
      </c>
      <c r="E115" t="str">
        <f t="shared" si="19"/>
        <v>$0-$50</v>
      </c>
      <c r="F115">
        <v>4.5999999999999999E-3</v>
      </c>
      <c r="G115" t="s">
        <v>729</v>
      </c>
      <c r="H115">
        <f t="shared" si="29"/>
        <v>11243721</v>
      </c>
      <c r="I115" t="s">
        <v>730</v>
      </c>
      <c r="J115">
        <v>25910</v>
      </c>
      <c r="K115" t="s">
        <v>731</v>
      </c>
      <c r="L115">
        <f>_xlfn.NUMBERVALUE(SUBSTITUTE(SUBSTITUTE(Crypto_Data__2[[#This Row],[Price (USD)]],"$",""),",",""))</f>
        <v>0.32490000000000002</v>
      </c>
      <c r="M115">
        <f t="shared" si="30"/>
        <v>0.32341230340434007</v>
      </c>
      <c r="N115">
        <f t="shared" si="31"/>
        <v>1.4876965956599486E-3</v>
      </c>
      <c r="O115" t="str">
        <f t="shared" si="32"/>
        <v>Up to $10</v>
      </c>
      <c r="P115">
        <f t="shared" si="33"/>
        <v>0.32640144665461124</v>
      </c>
      <c r="Q115">
        <f t="shared" si="34"/>
        <v>0.32639454000000001</v>
      </c>
      <c r="R115" t="str">
        <f t="shared" si="35"/>
        <v>$0-$5</v>
      </c>
      <c r="S115" t="str">
        <f t="shared" si="36"/>
        <v>$0.05-$0.5</v>
      </c>
      <c r="T115">
        <f t="shared" si="37"/>
        <v>4.5999999999999999E-3</v>
      </c>
    </row>
    <row r="116" spans="1:20" x14ac:dyDescent="0.3">
      <c r="A116" t="s">
        <v>732</v>
      </c>
      <c r="B11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16" t="s">
        <v>733</v>
      </c>
      <c r="D116" t="s">
        <v>734</v>
      </c>
      <c r="E116" t="str">
        <f t="shared" si="19"/>
        <v>$0-$50</v>
      </c>
      <c r="F116">
        <v>2.5999999999999999E-2</v>
      </c>
      <c r="G116" t="s">
        <v>736</v>
      </c>
      <c r="H116">
        <f t="shared" si="29"/>
        <v>11181505</v>
      </c>
      <c r="I116" t="s">
        <v>737</v>
      </c>
      <c r="J116">
        <v>95241</v>
      </c>
      <c r="K116" t="s">
        <v>738</v>
      </c>
      <c r="L116">
        <f>_xlfn.NUMBERVALUE(SUBSTITUTE(SUBSTITUTE(Crypto_Data__2[[#This Row],[Price (USD)]],"$",""),",",""))</f>
        <v>0.18329999999999999</v>
      </c>
      <c r="M116">
        <f t="shared" si="30"/>
        <v>0.1786549707602339</v>
      </c>
      <c r="N116">
        <f t="shared" si="31"/>
        <v>4.6450292397660908E-3</v>
      </c>
      <c r="O116" t="str">
        <f t="shared" si="32"/>
        <v>Up to $10</v>
      </c>
      <c r="P116">
        <f t="shared" si="33"/>
        <v>0.1881930184804928</v>
      </c>
      <c r="Q116">
        <f t="shared" si="34"/>
        <v>0.18806580000000001</v>
      </c>
      <c r="R116" t="str">
        <f t="shared" si="35"/>
        <v>$0-$5</v>
      </c>
      <c r="S116" t="str">
        <f t="shared" si="36"/>
        <v>$0.05-$0.5</v>
      </c>
      <c r="T116">
        <f t="shared" si="37"/>
        <v>2.5999999999999999E-2</v>
      </c>
    </row>
    <row r="117" spans="1:20" x14ac:dyDescent="0.3">
      <c r="A117" t="s">
        <v>739</v>
      </c>
      <c r="B11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17" t="s">
        <v>739</v>
      </c>
      <c r="D117" t="s">
        <v>740</v>
      </c>
      <c r="E117" t="str">
        <f t="shared" si="19"/>
        <v>$0-$50</v>
      </c>
      <c r="F117">
        <v>1.6400000000000001E-2</v>
      </c>
      <c r="G117" t="s">
        <v>742</v>
      </c>
      <c r="H117">
        <f t="shared" si="29"/>
        <v>11184297</v>
      </c>
      <c r="I117" t="s">
        <v>743</v>
      </c>
      <c r="J117">
        <v>1157910</v>
      </c>
      <c r="K117" t="s">
        <v>744</v>
      </c>
      <c r="L117">
        <f>_xlfn.NUMBERVALUE(SUBSTITUTE(SUBSTITUTE(Crypto_Data__2[[#This Row],[Price (USD)]],"$",""),",",""))</f>
        <v>1.242E-2</v>
      </c>
      <c r="M117">
        <f t="shared" si="30"/>
        <v>1.2219598583234948E-2</v>
      </c>
      <c r="N117">
        <f t="shared" si="31"/>
        <v>2.0040141676505238E-4</v>
      </c>
      <c r="O117" t="str">
        <f t="shared" si="32"/>
        <v>Up to $10</v>
      </c>
      <c r="P117">
        <f t="shared" si="33"/>
        <v>1.2627084180561203E-2</v>
      </c>
      <c r="Q117">
        <f t="shared" si="34"/>
        <v>1.2623688000000001E-2</v>
      </c>
      <c r="R117" t="str">
        <f t="shared" si="35"/>
        <v>$0-$5</v>
      </c>
      <c r="S117" t="str">
        <f t="shared" si="36"/>
        <v>$0-$0.05</v>
      </c>
      <c r="T117">
        <f t="shared" si="37"/>
        <v>1.6400000000000001E-2</v>
      </c>
    </row>
    <row r="118" spans="1:20" x14ac:dyDescent="0.3">
      <c r="A118" t="s">
        <v>745</v>
      </c>
      <c r="B11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18" t="s">
        <v>746</v>
      </c>
      <c r="D118" t="s">
        <v>747</v>
      </c>
      <c r="E118" t="str">
        <f t="shared" si="19"/>
        <v>$0-$50</v>
      </c>
      <c r="F118">
        <v>8.6999999999999994E-3</v>
      </c>
      <c r="G118" t="s">
        <v>749</v>
      </c>
      <c r="H118">
        <f t="shared" si="29"/>
        <v>11144288</v>
      </c>
      <c r="I118" t="s">
        <v>750</v>
      </c>
      <c r="J118">
        <v>19472</v>
      </c>
      <c r="K118" t="s">
        <v>751</v>
      </c>
      <c r="L118">
        <f>_xlfn.NUMBERVALUE(SUBSTITUTE(SUBSTITUTE(Crypto_Data__2[[#This Row],[Price (USD)]],"$",""),",",""))</f>
        <v>4.2379999999999996E-3</v>
      </c>
      <c r="M118">
        <f t="shared" si="30"/>
        <v>4.2014474075542773E-3</v>
      </c>
      <c r="N118">
        <f t="shared" si="31"/>
        <v>3.655259244572228E-5</v>
      </c>
      <c r="O118" t="str">
        <f t="shared" si="32"/>
        <v>Up to $10</v>
      </c>
      <c r="P118">
        <f t="shared" si="33"/>
        <v>4.2751941894481988E-3</v>
      </c>
      <c r="Q118">
        <f t="shared" si="34"/>
        <v>4.2748705999999994E-3</v>
      </c>
      <c r="R118" t="str">
        <f t="shared" si="35"/>
        <v>$0-$5</v>
      </c>
      <c r="S118" t="str">
        <f t="shared" si="36"/>
        <v>$0-$0.05</v>
      </c>
      <c r="T118">
        <f t="shared" si="37"/>
        <v>8.6999999999999994E-3</v>
      </c>
    </row>
    <row r="119" spans="1:20" x14ac:dyDescent="0.3">
      <c r="A119" t="s">
        <v>752</v>
      </c>
      <c r="B11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19" t="s">
        <v>753</v>
      </c>
      <c r="D119" t="s">
        <v>754</v>
      </c>
      <c r="E119" t="str">
        <f t="shared" si="19"/>
        <v>$0-$50</v>
      </c>
      <c r="F119">
        <v>5.1000000000000004E-3</v>
      </c>
      <c r="G119" t="s">
        <v>756</v>
      </c>
      <c r="H119">
        <f t="shared" si="29"/>
        <v>11155057</v>
      </c>
      <c r="I119" t="s">
        <v>757</v>
      </c>
      <c r="J119">
        <v>233918</v>
      </c>
      <c r="K119" t="s">
        <v>758</v>
      </c>
      <c r="L119">
        <f>_xlfn.NUMBERVALUE(SUBSTITUTE(SUBSTITUTE(Crypto_Data__2[[#This Row],[Price (USD)]],"$",""),",",""))</f>
        <v>7.4501999999999999E-2</v>
      </c>
      <c r="M119">
        <f t="shared" si="30"/>
        <v>7.4123967764401541E-2</v>
      </c>
      <c r="N119">
        <f t="shared" si="31"/>
        <v>3.7803223559845778E-4</v>
      </c>
      <c r="O119" t="str">
        <f t="shared" si="32"/>
        <v>Up to $10</v>
      </c>
      <c r="P119">
        <f t="shared" si="33"/>
        <v>7.4883907930445276E-2</v>
      </c>
      <c r="Q119">
        <f t="shared" si="34"/>
        <v>7.48819602E-2</v>
      </c>
      <c r="R119" t="str">
        <f t="shared" si="35"/>
        <v>$0-$5</v>
      </c>
      <c r="S119" t="str">
        <f t="shared" si="36"/>
        <v>$0.05-$0.5</v>
      </c>
      <c r="T119">
        <f t="shared" si="37"/>
        <v>5.1000000000000004E-3</v>
      </c>
    </row>
    <row r="120" spans="1:20" x14ac:dyDescent="0.3">
      <c r="A120" t="s">
        <v>759</v>
      </c>
      <c r="B12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20" t="s">
        <v>760</v>
      </c>
      <c r="D120" t="s">
        <v>761</v>
      </c>
      <c r="E120" t="str">
        <f t="shared" si="19"/>
        <v>$0-$50</v>
      </c>
      <c r="F120">
        <v>3.8E-3</v>
      </c>
      <c r="G120" t="s">
        <v>762</v>
      </c>
      <c r="H120">
        <f t="shared" si="29"/>
        <v>11101030</v>
      </c>
      <c r="I120" t="s">
        <v>763</v>
      </c>
      <c r="J120">
        <v>105278</v>
      </c>
      <c r="K120" t="s">
        <v>764</v>
      </c>
      <c r="L120">
        <f>_xlfn.NUMBERVALUE(SUBSTITUTE(SUBSTITUTE(Crypto_Data__2[[#This Row],[Price (USD)]],"$",""),",",""))</f>
        <v>0.21590000000000001</v>
      </c>
      <c r="M120">
        <f t="shared" si="30"/>
        <v>0.21508268579398288</v>
      </c>
      <c r="N120">
        <f t="shared" si="31"/>
        <v>8.1731420601713345E-4</v>
      </c>
      <c r="O120" t="str">
        <f t="shared" si="32"/>
        <v>Up to $10</v>
      </c>
      <c r="P120">
        <f t="shared" si="33"/>
        <v>0.21672354948805461</v>
      </c>
      <c r="Q120">
        <f t="shared" si="34"/>
        <v>0.21672042000000002</v>
      </c>
      <c r="R120" t="str">
        <f t="shared" si="35"/>
        <v>$0-$5</v>
      </c>
      <c r="S120" t="str">
        <f t="shared" si="36"/>
        <v>$0.05-$0.5</v>
      </c>
      <c r="T120">
        <f t="shared" si="37"/>
        <v>3.8E-3</v>
      </c>
    </row>
    <row r="121" spans="1:20" x14ac:dyDescent="0.3">
      <c r="A121" t="s">
        <v>765</v>
      </c>
      <c r="B12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21" t="s">
        <v>766</v>
      </c>
      <c r="D121" t="s">
        <v>767</v>
      </c>
      <c r="E121" t="str">
        <f t="shared" si="19"/>
        <v>$0-$50</v>
      </c>
      <c r="F121">
        <v>9.1999999999999998E-3</v>
      </c>
      <c r="G121" t="s">
        <v>768</v>
      </c>
      <c r="H121">
        <f t="shared" si="29"/>
        <v>11082865</v>
      </c>
      <c r="I121" t="s">
        <v>769</v>
      </c>
      <c r="J121">
        <v>8599503</v>
      </c>
      <c r="K121" t="s">
        <v>770</v>
      </c>
      <c r="L121">
        <f>_xlfn.NUMBERVALUE(SUBSTITUTE(SUBSTITUTE(Crypto_Data__2[[#This Row],[Price (USD)]],"$",""),",",""))</f>
        <v>4.861E-4</v>
      </c>
      <c r="M121">
        <f t="shared" si="30"/>
        <v>4.8166864843440343E-4</v>
      </c>
      <c r="N121">
        <f t="shared" si="31"/>
        <v>4.4313515655965661E-6</v>
      </c>
      <c r="O121" t="str">
        <f t="shared" si="32"/>
        <v>Up to $10</v>
      </c>
      <c r="P121">
        <f t="shared" si="33"/>
        <v>4.9061364553895843E-4</v>
      </c>
      <c r="Q121">
        <f t="shared" si="34"/>
        <v>4.9057212000000005E-4</v>
      </c>
      <c r="R121" t="str">
        <f t="shared" si="35"/>
        <v>$0-$5</v>
      </c>
      <c r="S121" t="str">
        <f t="shared" si="36"/>
        <v>$0-$0.05</v>
      </c>
      <c r="T121">
        <f t="shared" si="37"/>
        <v>9.1999999999999998E-3</v>
      </c>
    </row>
    <row r="122" spans="1:20" x14ac:dyDescent="0.3">
      <c r="A122" t="s">
        <v>771</v>
      </c>
      <c r="B12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22" t="s">
        <v>772</v>
      </c>
      <c r="D122" t="s">
        <v>773</v>
      </c>
      <c r="E122" t="str">
        <f t="shared" si="19"/>
        <v>$0-$50</v>
      </c>
      <c r="F122">
        <v>5.0000000000000001E-4</v>
      </c>
      <c r="G122" t="s">
        <v>774</v>
      </c>
      <c r="H122">
        <f t="shared" si="29"/>
        <v>8799631</v>
      </c>
      <c r="I122" t="s">
        <v>775</v>
      </c>
      <c r="J122">
        <v>50214459</v>
      </c>
      <c r="K122" t="s">
        <v>776</v>
      </c>
      <c r="L122">
        <f>_xlfn.NUMBERVALUE(SUBSTITUTE(SUBSTITUTE(Crypto_Data__2[[#This Row],[Price (USD)]],"$",""),",",""))</f>
        <v>0.99929999999999997</v>
      </c>
      <c r="M122">
        <f t="shared" si="30"/>
        <v>0.99880059970014989</v>
      </c>
      <c r="N122">
        <f t="shared" si="31"/>
        <v>4.9940029985007239E-4</v>
      </c>
      <c r="O122" t="str">
        <f t="shared" si="32"/>
        <v>Up to $10</v>
      </c>
      <c r="P122">
        <f t="shared" si="33"/>
        <v>0.99979989994997487</v>
      </c>
      <c r="Q122">
        <f t="shared" si="34"/>
        <v>0.99979964999999993</v>
      </c>
      <c r="R122" t="str">
        <f t="shared" si="35"/>
        <v>$0-$5</v>
      </c>
      <c r="S122" t="str">
        <f t="shared" si="36"/>
        <v>$0.5-$5</v>
      </c>
      <c r="T122">
        <f t="shared" si="37"/>
        <v>5.0000000000000001E-4</v>
      </c>
    </row>
    <row r="123" spans="1:20" x14ac:dyDescent="0.3">
      <c r="A123" t="s">
        <v>777</v>
      </c>
      <c r="B12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23" t="s">
        <v>778</v>
      </c>
      <c r="D123" t="s">
        <v>779</v>
      </c>
      <c r="E123" t="str">
        <f t="shared" si="19"/>
        <v>$0-$50</v>
      </c>
      <c r="F123">
        <v>8.9999999999999998E-4</v>
      </c>
      <c r="G123" t="s">
        <v>780</v>
      </c>
      <c r="H123">
        <f t="shared" si="29"/>
        <v>8770979</v>
      </c>
      <c r="I123" t="s">
        <v>781</v>
      </c>
      <c r="J123">
        <v>10</v>
      </c>
      <c r="K123" t="s">
        <v>782</v>
      </c>
      <c r="L123">
        <f>_xlfn.NUMBERVALUE(SUBSTITUTE(SUBSTITUTE(Crypto_Data__2[[#This Row],[Price (USD)]],"$",""),",",""))</f>
        <v>3.38</v>
      </c>
      <c r="M123">
        <f t="shared" si="30"/>
        <v>3.3769607353381961</v>
      </c>
      <c r="N123">
        <f t="shared" si="31"/>
        <v>3.0392646618038199E-3</v>
      </c>
      <c r="O123" t="str">
        <f t="shared" si="32"/>
        <v>Up to $10</v>
      </c>
      <c r="P123">
        <f t="shared" si="33"/>
        <v>3.3830447402662394</v>
      </c>
      <c r="Q123">
        <f t="shared" si="34"/>
        <v>3.3830419999999997</v>
      </c>
      <c r="R123" t="str">
        <f t="shared" si="35"/>
        <v>$0-$5</v>
      </c>
      <c r="S123" t="str">
        <f t="shared" si="36"/>
        <v>$0.5-$5</v>
      </c>
      <c r="T123">
        <f t="shared" si="37"/>
        <v>8.9999999999999998E-4</v>
      </c>
    </row>
    <row r="124" spans="1:20" x14ac:dyDescent="0.3">
      <c r="A124" t="s">
        <v>783</v>
      </c>
      <c r="B12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24" t="s">
        <v>784</v>
      </c>
      <c r="D124" t="s">
        <v>785</v>
      </c>
      <c r="E124" t="str">
        <f t="shared" si="19"/>
        <v>$0-$50</v>
      </c>
      <c r="F124">
        <v>3.7000000000000002E-3</v>
      </c>
      <c r="G124" t="s">
        <v>786</v>
      </c>
      <c r="H124">
        <f t="shared" si="29"/>
        <v>8762689</v>
      </c>
      <c r="I124" t="s">
        <v>787</v>
      </c>
      <c r="J124">
        <v>1784357</v>
      </c>
      <c r="K124" t="s">
        <v>788</v>
      </c>
      <c r="L124">
        <f>_xlfn.NUMBERVALUE(SUBSTITUTE(SUBSTITUTE(Crypto_Data__2[[#This Row],[Price (USD)]],"$",""),",",""))</f>
        <v>0.89400000000000002</v>
      </c>
      <c r="M124">
        <f t="shared" si="30"/>
        <v>0.89070439374315036</v>
      </c>
      <c r="N124">
        <f t="shared" si="31"/>
        <v>3.2956062568496591E-3</v>
      </c>
      <c r="O124" t="str">
        <f t="shared" si="32"/>
        <v>Up to $10</v>
      </c>
      <c r="P124">
        <f t="shared" si="33"/>
        <v>0.89732008431195431</v>
      </c>
      <c r="Q124">
        <f t="shared" si="34"/>
        <v>0.8973078000000001</v>
      </c>
      <c r="R124" t="str">
        <f t="shared" si="35"/>
        <v>$0-$5</v>
      </c>
      <c r="S124" t="str">
        <f t="shared" si="36"/>
        <v>$0.5-$5</v>
      </c>
      <c r="T124">
        <f t="shared" si="37"/>
        <v>3.7000000000000002E-3</v>
      </c>
    </row>
    <row r="125" spans="1:20" x14ac:dyDescent="0.3">
      <c r="A125" t="s">
        <v>789</v>
      </c>
      <c r="B12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25" t="s">
        <v>790</v>
      </c>
      <c r="D125" t="s">
        <v>791</v>
      </c>
      <c r="E125" t="str">
        <f t="shared" si="19"/>
        <v>$0-$50</v>
      </c>
      <c r="F125">
        <v>1.1299999999999999E-2</v>
      </c>
      <c r="G125" t="s">
        <v>793</v>
      </c>
      <c r="H125">
        <f t="shared" si="29"/>
        <v>8757334</v>
      </c>
      <c r="I125" t="s">
        <v>794</v>
      </c>
      <c r="J125">
        <v>1018996</v>
      </c>
      <c r="K125" t="s">
        <v>795</v>
      </c>
      <c r="L125">
        <f>_xlfn.NUMBERVALUE(SUBSTITUTE(SUBSTITUTE(Crypto_Data__2[[#This Row],[Price (USD)]],"$",""),",",""))</f>
        <v>8.8430000000000002E-3</v>
      </c>
      <c r="M125">
        <f t="shared" si="30"/>
        <v>8.7441906457035486E-3</v>
      </c>
      <c r="N125">
        <f t="shared" si="31"/>
        <v>9.8809354296451601E-5</v>
      </c>
      <c r="O125" t="str">
        <f t="shared" si="32"/>
        <v>Up to $10</v>
      </c>
      <c r="P125">
        <f t="shared" si="33"/>
        <v>8.9440679680388383E-3</v>
      </c>
      <c r="Q125">
        <f t="shared" si="34"/>
        <v>8.9429259000000007E-3</v>
      </c>
      <c r="R125" t="str">
        <f t="shared" si="35"/>
        <v>$0-$5</v>
      </c>
      <c r="S125" t="str">
        <f t="shared" si="36"/>
        <v>$0-$0.05</v>
      </c>
      <c r="T125">
        <f t="shared" si="37"/>
        <v>1.1299999999999999E-2</v>
      </c>
    </row>
    <row r="126" spans="1:20" x14ac:dyDescent="0.3">
      <c r="A126" t="s">
        <v>796</v>
      </c>
      <c r="B12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26" t="s">
        <v>797</v>
      </c>
      <c r="D126" t="s">
        <v>798</v>
      </c>
      <c r="E126" t="str">
        <f t="shared" si="19"/>
        <v>$0-$50</v>
      </c>
      <c r="F126">
        <v>1.4E-3</v>
      </c>
      <c r="G126" t="s">
        <v>799</v>
      </c>
      <c r="H126">
        <f t="shared" si="29"/>
        <v>8738652</v>
      </c>
      <c r="I126" t="s">
        <v>800</v>
      </c>
      <c r="J126">
        <v>849245</v>
      </c>
      <c r="K126" t="s">
        <v>801</v>
      </c>
      <c r="L126">
        <f>_xlfn.NUMBERVALUE(SUBSTITUTE(SUBSTITUTE(Crypto_Data__2[[#This Row],[Price (USD)]],"$",""),",",""))</f>
        <v>3.6310000000000002E-2</v>
      </c>
      <c r="M126">
        <f t="shared" si="30"/>
        <v>3.6259237068104654E-2</v>
      </c>
      <c r="N126">
        <f t="shared" si="31"/>
        <v>5.0762931895348418E-5</v>
      </c>
      <c r="O126" t="str">
        <f t="shared" si="32"/>
        <v>Up to $10</v>
      </c>
      <c r="P126">
        <f t="shared" si="33"/>
        <v>3.6360905267374323E-2</v>
      </c>
      <c r="Q126">
        <f t="shared" si="34"/>
        <v>3.6360834000000002E-2</v>
      </c>
      <c r="R126" t="str">
        <f t="shared" si="35"/>
        <v>$0-$5</v>
      </c>
      <c r="S126" t="str">
        <f t="shared" si="36"/>
        <v>$0-$0.05</v>
      </c>
      <c r="T126">
        <f t="shared" si="37"/>
        <v>1.4E-3</v>
      </c>
    </row>
    <row r="127" spans="1:20" x14ac:dyDescent="0.3">
      <c r="A127" t="s">
        <v>802</v>
      </c>
      <c r="B12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27" t="s">
        <v>803</v>
      </c>
      <c r="D127" t="s">
        <v>804</v>
      </c>
      <c r="E127" t="str">
        <f t="shared" si="19"/>
        <v>$0-$50</v>
      </c>
      <c r="F127">
        <v>2.3999999999999998E-3</v>
      </c>
      <c r="G127" t="s">
        <v>805</v>
      </c>
      <c r="H127">
        <f t="shared" si="29"/>
        <v>8732769</v>
      </c>
      <c r="I127" t="s">
        <v>806</v>
      </c>
      <c r="J127">
        <v>31161</v>
      </c>
      <c r="K127" t="s">
        <v>807</v>
      </c>
      <c r="L127">
        <f>_xlfn.NUMBERVALUE(SUBSTITUTE(SUBSTITUTE(Crypto_Data__2[[#This Row],[Price (USD)]],"$",""),",",""))</f>
        <v>4.564E-2</v>
      </c>
      <c r="M127">
        <f t="shared" si="30"/>
        <v>4.5530726256983241E-2</v>
      </c>
      <c r="N127">
        <f t="shared" si="31"/>
        <v>1.0927374301675924E-4</v>
      </c>
      <c r="O127" t="str">
        <f t="shared" si="32"/>
        <v>Up to $10</v>
      </c>
      <c r="P127">
        <f t="shared" si="33"/>
        <v>4.5749799518845224E-2</v>
      </c>
      <c r="Q127">
        <f t="shared" si="34"/>
        <v>4.5749536E-2</v>
      </c>
      <c r="R127" t="str">
        <f t="shared" si="35"/>
        <v>$0-$5</v>
      </c>
      <c r="S127" t="str">
        <f t="shared" si="36"/>
        <v>$0-$0.05</v>
      </c>
      <c r="T127">
        <f t="shared" si="37"/>
        <v>2.3999999999999998E-3</v>
      </c>
    </row>
    <row r="128" spans="1:20" x14ac:dyDescent="0.3">
      <c r="A128" t="s">
        <v>808</v>
      </c>
      <c r="B12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28" t="s">
        <v>809</v>
      </c>
      <c r="D128" t="s">
        <v>810</v>
      </c>
      <c r="E128" t="str">
        <f t="shared" si="19"/>
        <v>$0-$50</v>
      </c>
      <c r="F128">
        <v>6.1999999999999998E-3</v>
      </c>
      <c r="G128" t="s">
        <v>812</v>
      </c>
      <c r="H128">
        <f t="shared" si="29"/>
        <v>8712671</v>
      </c>
      <c r="I128" t="s">
        <v>813</v>
      </c>
      <c r="J128">
        <v>260752</v>
      </c>
      <c r="K128" t="s">
        <v>814</v>
      </c>
      <c r="L128">
        <f>_xlfn.NUMBERVALUE(SUBSTITUTE(SUBSTITUTE(Crypto_Data__2[[#This Row],[Price (USD)]],"$",""),",",""))</f>
        <v>8.7129999999999999E-2</v>
      </c>
      <c r="M128">
        <f t="shared" si="30"/>
        <v>8.6593122639634271E-2</v>
      </c>
      <c r="N128">
        <f t="shared" si="31"/>
        <v>5.3687736036572842E-4</v>
      </c>
      <c r="O128" t="str">
        <f t="shared" si="32"/>
        <v>Up to $10</v>
      </c>
      <c r="P128">
        <f t="shared" si="33"/>
        <v>8.7673576172268064E-2</v>
      </c>
      <c r="Q128">
        <f t="shared" si="34"/>
        <v>8.7670206000000001E-2</v>
      </c>
      <c r="R128" t="str">
        <f t="shared" si="35"/>
        <v>$0-$5</v>
      </c>
      <c r="S128" t="str">
        <f t="shared" si="36"/>
        <v>$0.05-$0.5</v>
      </c>
      <c r="T128">
        <f t="shared" si="37"/>
        <v>6.1999999999999998E-3</v>
      </c>
    </row>
    <row r="129" spans="1:20" x14ac:dyDescent="0.3">
      <c r="A129" t="s">
        <v>815</v>
      </c>
      <c r="B12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29" t="s">
        <v>816</v>
      </c>
      <c r="D129" t="s">
        <v>817</v>
      </c>
      <c r="E129" t="str">
        <f t="shared" si="19"/>
        <v>$0-$50</v>
      </c>
      <c r="F129">
        <v>4.1000000000000003E-3</v>
      </c>
      <c r="G129" t="s">
        <v>818</v>
      </c>
      <c r="H129">
        <f t="shared" si="29"/>
        <v>8699473</v>
      </c>
      <c r="I129" t="s">
        <v>819</v>
      </c>
      <c r="J129">
        <v>7734230</v>
      </c>
      <c r="K129" t="s">
        <v>820</v>
      </c>
      <c r="L129">
        <f>_xlfn.NUMBERVALUE(SUBSTITUTE(SUBSTITUTE(Crypto_Data__2[[#This Row],[Price (USD)]],"$",""),",",""))</f>
        <v>3.952E-2</v>
      </c>
      <c r="M129">
        <f t="shared" si="30"/>
        <v>3.9358629618563887E-2</v>
      </c>
      <c r="N129">
        <f t="shared" si="31"/>
        <v>1.6137038143611282E-4</v>
      </c>
      <c r="O129" t="str">
        <f t="shared" si="32"/>
        <v>Up to $10</v>
      </c>
      <c r="P129">
        <f t="shared" si="33"/>
        <v>3.9682699066171299E-2</v>
      </c>
      <c r="Q129">
        <f t="shared" si="34"/>
        <v>3.9682031999999999E-2</v>
      </c>
      <c r="R129" t="str">
        <f t="shared" si="35"/>
        <v>$0-$5</v>
      </c>
      <c r="S129" t="str">
        <f t="shared" si="36"/>
        <v>$0-$0.05</v>
      </c>
      <c r="T129">
        <f t="shared" si="37"/>
        <v>4.1000000000000003E-3</v>
      </c>
    </row>
    <row r="130" spans="1:20" x14ac:dyDescent="0.3">
      <c r="A130" t="s">
        <v>821</v>
      </c>
      <c r="B13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30" t="s">
        <v>822</v>
      </c>
      <c r="D130" t="s">
        <v>823</v>
      </c>
      <c r="E130" t="str">
        <f t="shared" ref="E130:E193" si="38">IF(VALUE(SUBSTITUTE(D130,"$",""))&lt;=50,"$0-$50","Above $50")</f>
        <v>$0-$50</v>
      </c>
      <c r="F130">
        <v>4.3E-3</v>
      </c>
      <c r="G130" t="s">
        <v>824</v>
      </c>
      <c r="H130">
        <f t="shared" ref="H130:H161" si="39">_xlfn.NUMBERVALUE(SUBSTITUTE(SUBSTITUTE(G130,"$",""),",",""))</f>
        <v>8669853</v>
      </c>
      <c r="I130" t="s">
        <v>825</v>
      </c>
      <c r="J130">
        <v>229548</v>
      </c>
      <c r="K130" t="s">
        <v>826</v>
      </c>
      <c r="L130">
        <f>_xlfn.NUMBERVALUE(SUBSTITUTE(SUBSTITUTE(Crypto_Data__2[[#This Row],[Price (USD)]],"$",""),",",""))</f>
        <v>9.8710000000000006E-2</v>
      </c>
      <c r="M130">
        <f t="shared" ref="M130:M161" si="40">L130/(1+F130)</f>
        <v>9.8287364333366531E-2</v>
      </c>
      <c r="N130">
        <f t="shared" ref="N130:N161" si="41">L130-M130</f>
        <v>4.2263566663347518E-4</v>
      </c>
      <c r="O130" t="str">
        <f t="shared" ref="O130:O161" si="42">IF(L130&lt;10,"Up to $10","&gt;= $10")</f>
        <v>Up to $10</v>
      </c>
      <c r="P130">
        <f t="shared" ref="P130:P161" si="43">L130/(1-F130)</f>
        <v>9.9136286029928702E-2</v>
      </c>
      <c r="Q130">
        <f t="shared" ref="Q130:Q161" si="44">L130*(1+F130)</f>
        <v>9.9134452999999997E-2</v>
      </c>
      <c r="R130" t="str">
        <f t="shared" ref="R130:R161" si="45">IF(L130&lt;=5,"$0-$5","Above $5")</f>
        <v>$0-$5</v>
      </c>
      <c r="S130" t="str">
        <f t="shared" ref="S130:S161" si="46">IF(L130&lt;=0.05,"$0-$0.05",
IF(L130&lt;=0.5,"$0.05-$0.5",
IF(L130&lt;=5,"$0.5-$5",
IF(L130&lt;=50,"$5-$50","&gt;$50"))))</f>
        <v>$0.05-$0.5</v>
      </c>
      <c r="T130">
        <f t="shared" ref="T130:T161" si="47">ABS(F130)</f>
        <v>4.3E-3</v>
      </c>
    </row>
    <row r="131" spans="1:20" x14ac:dyDescent="0.3">
      <c r="A131" t="s">
        <v>827</v>
      </c>
      <c r="B13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31" t="s">
        <v>828</v>
      </c>
      <c r="D131" t="s">
        <v>829</v>
      </c>
      <c r="E131" t="str">
        <f t="shared" si="38"/>
        <v>$0-$50</v>
      </c>
      <c r="F131">
        <v>4.3E-3</v>
      </c>
      <c r="G131" t="s">
        <v>830</v>
      </c>
      <c r="H131">
        <f t="shared" si="39"/>
        <v>8662826</v>
      </c>
      <c r="I131" t="s">
        <v>831</v>
      </c>
      <c r="J131">
        <v>65907</v>
      </c>
      <c r="K131" t="s">
        <v>832</v>
      </c>
      <c r="L131">
        <f>_xlfn.NUMBERVALUE(SUBSTITUTE(SUBSTITUTE(Crypto_Data__2[[#This Row],[Price (USD)]],"$",""),",",""))</f>
        <v>0.29120000000000001</v>
      </c>
      <c r="M131">
        <f t="shared" si="40"/>
        <v>0.28995320123469087</v>
      </c>
      <c r="N131">
        <f t="shared" si="41"/>
        <v>1.2467987653091428E-3</v>
      </c>
      <c r="O131" t="str">
        <f t="shared" si="42"/>
        <v>Up to $10</v>
      </c>
      <c r="P131">
        <f t="shared" si="43"/>
        <v>0.29245756754042385</v>
      </c>
      <c r="Q131">
        <f t="shared" si="44"/>
        <v>0.29245216000000002</v>
      </c>
      <c r="R131" t="str">
        <f t="shared" si="45"/>
        <v>$0-$5</v>
      </c>
      <c r="S131" t="str">
        <f t="shared" si="46"/>
        <v>$0.05-$0.5</v>
      </c>
      <c r="T131">
        <f t="shared" si="47"/>
        <v>4.3E-3</v>
      </c>
    </row>
    <row r="132" spans="1:20" x14ac:dyDescent="0.3">
      <c r="A132" t="s">
        <v>833</v>
      </c>
      <c r="B13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32" t="s">
        <v>833</v>
      </c>
      <c r="D132" t="s">
        <v>834</v>
      </c>
      <c r="E132" t="str">
        <f t="shared" si="38"/>
        <v>$0-$50</v>
      </c>
      <c r="F132">
        <v>0</v>
      </c>
      <c r="G132" t="s">
        <v>835</v>
      </c>
      <c r="H132">
        <f t="shared" si="39"/>
        <v>7020264</v>
      </c>
      <c r="I132" t="s">
        <v>330</v>
      </c>
      <c r="J132" t="e">
        <v>#VALUE!</v>
      </c>
      <c r="K132" t="s">
        <v>836</v>
      </c>
      <c r="L132">
        <f>_xlfn.NUMBERVALUE(SUBSTITUTE(SUBSTITUTE(Crypto_Data__2[[#This Row],[Price (USD)]],"$",""),",",""))</f>
        <v>0.70199999999999996</v>
      </c>
      <c r="M132">
        <f t="shared" si="40"/>
        <v>0.70199999999999996</v>
      </c>
      <c r="N132">
        <f t="shared" si="41"/>
        <v>0</v>
      </c>
      <c r="O132" t="str">
        <f t="shared" si="42"/>
        <v>Up to $10</v>
      </c>
      <c r="P132">
        <f t="shared" si="43"/>
        <v>0.70199999999999996</v>
      </c>
      <c r="Q132">
        <f t="shared" si="44"/>
        <v>0.70199999999999996</v>
      </c>
      <c r="R132" t="str">
        <f t="shared" si="45"/>
        <v>$0-$5</v>
      </c>
      <c r="S132" t="str">
        <f t="shared" si="46"/>
        <v>$0.5-$5</v>
      </c>
      <c r="T132">
        <f t="shared" si="47"/>
        <v>0</v>
      </c>
    </row>
    <row r="133" spans="1:20" x14ac:dyDescent="0.3">
      <c r="A133" t="s">
        <v>837</v>
      </c>
      <c r="B13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33" t="s">
        <v>838</v>
      </c>
      <c r="D133" t="s">
        <v>839</v>
      </c>
      <c r="E133" t="str">
        <f t="shared" si="38"/>
        <v>$0-$50</v>
      </c>
      <c r="F133">
        <v>2.0000000000000001E-4</v>
      </c>
      <c r="G133" t="s">
        <v>840</v>
      </c>
      <c r="H133">
        <f t="shared" si="39"/>
        <v>7015949</v>
      </c>
      <c r="I133" t="s">
        <v>330</v>
      </c>
      <c r="J133" t="e">
        <v>#VALUE!</v>
      </c>
      <c r="K133" t="s">
        <v>841</v>
      </c>
      <c r="L133">
        <f>_xlfn.NUMBERVALUE(SUBSTITUTE(SUBSTITUTE(Crypto_Data__2[[#This Row],[Price (USD)]],"$",""),",",""))</f>
        <v>2.555E-2</v>
      </c>
      <c r="M133">
        <f t="shared" si="40"/>
        <v>2.5544891021795642E-2</v>
      </c>
      <c r="N133">
        <f t="shared" si="41"/>
        <v>5.108978204357989E-6</v>
      </c>
      <c r="O133" t="str">
        <f t="shared" si="42"/>
        <v>Up to $10</v>
      </c>
      <c r="P133">
        <f t="shared" si="43"/>
        <v>2.5555111022204442E-2</v>
      </c>
      <c r="Q133">
        <f t="shared" si="44"/>
        <v>2.5555109999999999E-2</v>
      </c>
      <c r="R133" t="str">
        <f t="shared" si="45"/>
        <v>$0-$5</v>
      </c>
      <c r="S133" t="str">
        <f t="shared" si="46"/>
        <v>$0-$0.05</v>
      </c>
      <c r="T133">
        <f t="shared" si="47"/>
        <v>2.0000000000000001E-4</v>
      </c>
    </row>
    <row r="134" spans="1:20" x14ac:dyDescent="0.3">
      <c r="A134" t="s">
        <v>842</v>
      </c>
      <c r="B13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34" t="s">
        <v>843</v>
      </c>
      <c r="D134" t="s">
        <v>844</v>
      </c>
      <c r="E134" t="str">
        <f t="shared" si="38"/>
        <v>$0-$50</v>
      </c>
      <c r="F134">
        <v>1.5E-3</v>
      </c>
      <c r="G134" t="s">
        <v>845</v>
      </c>
      <c r="H134">
        <f t="shared" si="39"/>
        <v>6977656</v>
      </c>
      <c r="I134" t="s">
        <v>846</v>
      </c>
      <c r="J134">
        <v>146941</v>
      </c>
      <c r="K134" t="s">
        <v>847</v>
      </c>
      <c r="L134">
        <f>_xlfn.NUMBERVALUE(SUBSTITUTE(SUBSTITUTE(Crypto_Data__2[[#This Row],[Price (USD)]],"$",""),",",""))</f>
        <v>3.4689999999999999E-2</v>
      </c>
      <c r="M134">
        <f t="shared" si="40"/>
        <v>3.4638042935596601E-2</v>
      </c>
      <c r="N134">
        <f t="shared" si="41"/>
        <v>5.195706440339759E-5</v>
      </c>
      <c r="O134" t="str">
        <f t="shared" si="42"/>
        <v>Up to $10</v>
      </c>
      <c r="P134">
        <f t="shared" si="43"/>
        <v>3.4742113169754632E-2</v>
      </c>
      <c r="Q134">
        <f t="shared" si="44"/>
        <v>3.4742034999999998E-2</v>
      </c>
      <c r="R134" t="str">
        <f t="shared" si="45"/>
        <v>$0-$5</v>
      </c>
      <c r="S134" t="str">
        <f t="shared" si="46"/>
        <v>$0-$0.05</v>
      </c>
      <c r="T134">
        <f t="shared" si="47"/>
        <v>1.5E-3</v>
      </c>
    </row>
    <row r="135" spans="1:20" x14ac:dyDescent="0.3">
      <c r="A135" t="s">
        <v>848</v>
      </c>
      <c r="B13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35" t="s">
        <v>849</v>
      </c>
      <c r="D135" t="s">
        <v>850</v>
      </c>
      <c r="E135" t="str">
        <f t="shared" si="38"/>
        <v>$0-$50</v>
      </c>
      <c r="F135">
        <v>2.0000000000000001E-4</v>
      </c>
      <c r="G135" t="s">
        <v>851</v>
      </c>
      <c r="H135">
        <f t="shared" si="39"/>
        <v>6955385</v>
      </c>
      <c r="I135" t="s">
        <v>852</v>
      </c>
      <c r="J135">
        <v>6780</v>
      </c>
      <c r="K135" t="s">
        <v>853</v>
      </c>
      <c r="L135">
        <f>_xlfn.NUMBERVALUE(SUBSTITUTE(SUBSTITUTE(Crypto_Data__2[[#This Row],[Price (USD)]],"$",""),",",""))</f>
        <v>1.934E-2</v>
      </c>
      <c r="M135">
        <f t="shared" si="40"/>
        <v>1.933613277344531E-2</v>
      </c>
      <c r="N135">
        <f t="shared" si="41"/>
        <v>3.8672265546893514E-6</v>
      </c>
      <c r="O135" t="str">
        <f t="shared" si="42"/>
        <v>Up to $10</v>
      </c>
      <c r="P135">
        <f t="shared" si="43"/>
        <v>1.9343868773754751E-2</v>
      </c>
      <c r="Q135">
        <f t="shared" si="44"/>
        <v>1.9343868E-2</v>
      </c>
      <c r="R135" t="str">
        <f t="shared" si="45"/>
        <v>$0-$5</v>
      </c>
      <c r="S135" t="str">
        <f t="shared" si="46"/>
        <v>$0-$0.05</v>
      </c>
      <c r="T135">
        <f t="shared" si="47"/>
        <v>2.0000000000000001E-4</v>
      </c>
    </row>
    <row r="136" spans="1:20" x14ac:dyDescent="0.3">
      <c r="A136" t="s">
        <v>854</v>
      </c>
      <c r="B13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36" t="s">
        <v>855</v>
      </c>
      <c r="D136" t="s">
        <v>856</v>
      </c>
      <c r="E136" t="str">
        <f t="shared" si="38"/>
        <v>$0-$50</v>
      </c>
      <c r="F136">
        <v>0</v>
      </c>
      <c r="G136" t="s">
        <v>857</v>
      </c>
      <c r="H136">
        <f t="shared" si="39"/>
        <v>6922422</v>
      </c>
      <c r="I136" t="s">
        <v>330</v>
      </c>
      <c r="J136" t="e">
        <v>#VALUE!</v>
      </c>
      <c r="K136" t="s">
        <v>858</v>
      </c>
      <c r="L136">
        <f>_xlfn.NUMBERVALUE(SUBSTITUTE(SUBSTITUTE(Crypto_Data__2[[#This Row],[Price (USD)]],"$",""),",",""))</f>
        <v>1.7589999999999999E-5</v>
      </c>
      <c r="M136">
        <f t="shared" si="40"/>
        <v>1.7589999999999999E-5</v>
      </c>
      <c r="N136">
        <f t="shared" si="41"/>
        <v>0</v>
      </c>
      <c r="O136" t="str">
        <f t="shared" si="42"/>
        <v>Up to $10</v>
      </c>
      <c r="P136">
        <f t="shared" si="43"/>
        <v>1.7589999999999999E-5</v>
      </c>
      <c r="Q136">
        <f t="shared" si="44"/>
        <v>1.7589999999999999E-5</v>
      </c>
      <c r="R136" t="str">
        <f t="shared" si="45"/>
        <v>$0-$5</v>
      </c>
      <c r="S136" t="str">
        <f t="shared" si="46"/>
        <v>$0-$0.05</v>
      </c>
      <c r="T136">
        <f t="shared" si="47"/>
        <v>0</v>
      </c>
    </row>
    <row r="137" spans="1:20" x14ac:dyDescent="0.3">
      <c r="A137" t="s">
        <v>859</v>
      </c>
      <c r="B13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37" t="s">
        <v>860</v>
      </c>
      <c r="D137" t="s">
        <v>861</v>
      </c>
      <c r="E137" t="str">
        <f t="shared" si="38"/>
        <v>$0-$50</v>
      </c>
      <c r="F137">
        <v>2.8500000000000001E-2</v>
      </c>
      <c r="G137" t="s">
        <v>863</v>
      </c>
      <c r="H137">
        <f t="shared" si="39"/>
        <v>6916559</v>
      </c>
      <c r="I137" t="s">
        <v>864</v>
      </c>
      <c r="J137">
        <v>425962</v>
      </c>
      <c r="K137" t="s">
        <v>865</v>
      </c>
      <c r="L137">
        <f>_xlfn.NUMBERVALUE(SUBSTITUTE(SUBSTITUTE(Crypto_Data__2[[#This Row],[Price (USD)]],"$",""),",",""))</f>
        <v>1.38</v>
      </c>
      <c r="M137">
        <f t="shared" si="40"/>
        <v>1.3417598444336412</v>
      </c>
      <c r="N137">
        <f t="shared" si="41"/>
        <v>3.8240155566358736E-2</v>
      </c>
      <c r="O137" t="str">
        <f t="shared" si="42"/>
        <v>Up to $10</v>
      </c>
      <c r="P137">
        <f t="shared" si="43"/>
        <v>1.4204837879567678</v>
      </c>
      <c r="Q137">
        <f t="shared" si="44"/>
        <v>1.4193299999999998</v>
      </c>
      <c r="R137" t="str">
        <f t="shared" si="45"/>
        <v>$0-$5</v>
      </c>
      <c r="S137" t="str">
        <f t="shared" si="46"/>
        <v>$0.5-$5</v>
      </c>
      <c r="T137">
        <f t="shared" si="47"/>
        <v>2.8500000000000001E-2</v>
      </c>
    </row>
    <row r="138" spans="1:20" x14ac:dyDescent="0.3">
      <c r="A138" t="s">
        <v>866</v>
      </c>
      <c r="B13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38" t="s">
        <v>867</v>
      </c>
      <c r="D138" t="s">
        <v>868</v>
      </c>
      <c r="E138" t="str">
        <f t="shared" si="38"/>
        <v>$0-$50</v>
      </c>
      <c r="F138">
        <v>5.9999999999999995E-4</v>
      </c>
      <c r="G138" t="s">
        <v>869</v>
      </c>
      <c r="H138">
        <f t="shared" si="39"/>
        <v>6910668</v>
      </c>
      <c r="I138" t="s">
        <v>870</v>
      </c>
      <c r="J138">
        <v>87808</v>
      </c>
      <c r="K138" t="s">
        <v>871</v>
      </c>
      <c r="L138">
        <f>_xlfn.NUMBERVALUE(SUBSTITUTE(SUBSTITUTE(Crypto_Data__2[[#This Row],[Price (USD)]],"$",""),",",""))</f>
        <v>2.9950000000000002E-4</v>
      </c>
      <c r="M138">
        <f t="shared" si="40"/>
        <v>2.9932040775534685E-4</v>
      </c>
      <c r="N138">
        <f t="shared" si="41"/>
        <v>1.7959224465316677E-7</v>
      </c>
      <c r="O138" t="str">
        <f t="shared" si="42"/>
        <v>Up to $10</v>
      </c>
      <c r="P138">
        <f t="shared" si="43"/>
        <v>2.9967980788473086E-4</v>
      </c>
      <c r="Q138">
        <f t="shared" si="44"/>
        <v>2.9967969999999998E-4</v>
      </c>
      <c r="R138" t="str">
        <f t="shared" si="45"/>
        <v>$0-$5</v>
      </c>
      <c r="S138" t="str">
        <f t="shared" si="46"/>
        <v>$0-$0.05</v>
      </c>
      <c r="T138">
        <f t="shared" si="47"/>
        <v>5.9999999999999995E-4</v>
      </c>
    </row>
    <row r="139" spans="1:20" x14ac:dyDescent="0.3">
      <c r="A139" t="s">
        <v>872</v>
      </c>
      <c r="B13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39" t="s">
        <v>873</v>
      </c>
      <c r="D139" t="s">
        <v>874</v>
      </c>
      <c r="E139" t="str">
        <f t="shared" si="38"/>
        <v>$0-$50</v>
      </c>
      <c r="F139">
        <v>3.8E-3</v>
      </c>
      <c r="G139" t="s">
        <v>875</v>
      </c>
      <c r="H139">
        <f t="shared" si="39"/>
        <v>6901123</v>
      </c>
      <c r="I139" t="s">
        <v>876</v>
      </c>
      <c r="J139">
        <v>187469</v>
      </c>
      <c r="K139" t="s">
        <v>877</v>
      </c>
      <c r="L139">
        <f>_xlfn.NUMBERVALUE(SUBSTITUTE(SUBSTITUTE(Crypto_Data__2[[#This Row],[Price (USD)]],"$",""),",",""))</f>
        <v>9.944000000000001E-4</v>
      </c>
      <c r="M139">
        <f t="shared" si="40"/>
        <v>9.9063558477784433E-4</v>
      </c>
      <c r="N139">
        <f t="shared" si="41"/>
        <v>3.7644152221557713E-6</v>
      </c>
      <c r="O139" t="str">
        <f t="shared" si="42"/>
        <v>Up to $10</v>
      </c>
      <c r="P139">
        <f t="shared" si="43"/>
        <v>9.9819313390885371E-4</v>
      </c>
      <c r="Q139">
        <f t="shared" si="44"/>
        <v>9.9817872000000011E-4</v>
      </c>
      <c r="R139" t="str">
        <f t="shared" si="45"/>
        <v>$0-$5</v>
      </c>
      <c r="S139" t="str">
        <f t="shared" si="46"/>
        <v>$0-$0.05</v>
      </c>
      <c r="T139">
        <f t="shared" si="47"/>
        <v>3.8E-3</v>
      </c>
    </row>
    <row r="140" spans="1:20" x14ac:dyDescent="0.3">
      <c r="A140" t="s">
        <v>878</v>
      </c>
      <c r="B14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40" t="s">
        <v>878</v>
      </c>
      <c r="D140" t="s">
        <v>879</v>
      </c>
      <c r="E140" t="str">
        <f t="shared" si="38"/>
        <v>$0-$50</v>
      </c>
      <c r="F140">
        <v>1.8E-3</v>
      </c>
      <c r="G140" t="s">
        <v>881</v>
      </c>
      <c r="H140">
        <f t="shared" si="39"/>
        <v>6897513</v>
      </c>
      <c r="I140" t="s">
        <v>882</v>
      </c>
      <c r="J140">
        <v>340331</v>
      </c>
      <c r="K140" t="s">
        <v>883</v>
      </c>
      <c r="L140">
        <f>_xlfn.NUMBERVALUE(SUBSTITUTE(SUBSTITUTE(Crypto_Data__2[[#This Row],[Price (USD)]],"$",""),",",""))</f>
        <v>0.13519999999999999</v>
      </c>
      <c r="M140">
        <f t="shared" si="40"/>
        <v>0.13495707726093031</v>
      </c>
      <c r="N140">
        <f t="shared" si="41"/>
        <v>2.429227390696731E-4</v>
      </c>
      <c r="O140" t="str">
        <f t="shared" si="42"/>
        <v>Up to $10</v>
      </c>
      <c r="P140">
        <f t="shared" si="43"/>
        <v>0.13544379883790822</v>
      </c>
      <c r="Q140">
        <f t="shared" si="44"/>
        <v>0.13544335999999998</v>
      </c>
      <c r="R140" t="str">
        <f t="shared" si="45"/>
        <v>$0-$5</v>
      </c>
      <c r="S140" t="str">
        <f t="shared" si="46"/>
        <v>$0.05-$0.5</v>
      </c>
      <c r="T140">
        <f t="shared" si="47"/>
        <v>1.8E-3</v>
      </c>
    </row>
    <row r="141" spans="1:20" x14ac:dyDescent="0.3">
      <c r="A141" t="s">
        <v>884</v>
      </c>
      <c r="B14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41" t="s">
        <v>885</v>
      </c>
      <c r="D141" t="s">
        <v>886</v>
      </c>
      <c r="E141" t="str">
        <f t="shared" si="38"/>
        <v>$0-$50</v>
      </c>
      <c r="F141">
        <v>1.1999999999999999E-3</v>
      </c>
      <c r="G141" t="s">
        <v>887</v>
      </c>
      <c r="H141">
        <f t="shared" si="39"/>
        <v>6894766</v>
      </c>
      <c r="I141" t="s">
        <v>888</v>
      </c>
      <c r="J141">
        <v>321408</v>
      </c>
      <c r="K141" t="s">
        <v>889</v>
      </c>
      <c r="L141">
        <f>_xlfn.NUMBERVALUE(SUBSTITUTE(SUBSTITUTE(Crypto_Data__2[[#This Row],[Price (USD)]],"$",""),",",""))</f>
        <v>4.908E-3</v>
      </c>
      <c r="M141">
        <f t="shared" si="40"/>
        <v>4.9021174590491408E-3</v>
      </c>
      <c r="N141">
        <f t="shared" si="41"/>
        <v>5.8825409508592164E-6</v>
      </c>
      <c r="O141" t="str">
        <f t="shared" si="42"/>
        <v>Up to $10</v>
      </c>
      <c r="P141">
        <f t="shared" si="43"/>
        <v>4.9138966760112132E-3</v>
      </c>
      <c r="Q141">
        <f t="shared" si="44"/>
        <v>4.9138896000000005E-3</v>
      </c>
      <c r="R141" t="str">
        <f t="shared" si="45"/>
        <v>$0-$5</v>
      </c>
      <c r="S141" t="str">
        <f t="shared" si="46"/>
        <v>$0-$0.05</v>
      </c>
      <c r="T141">
        <f t="shared" si="47"/>
        <v>1.1999999999999999E-3</v>
      </c>
    </row>
    <row r="142" spans="1:20" x14ac:dyDescent="0.3">
      <c r="A142" t="s">
        <v>890</v>
      </c>
      <c r="B14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42" t="s">
        <v>891</v>
      </c>
      <c r="D142" t="s">
        <v>892</v>
      </c>
      <c r="E142" t="str">
        <f t="shared" si="38"/>
        <v>$0-$50</v>
      </c>
      <c r="F142">
        <v>1.5900000000000001E-2</v>
      </c>
      <c r="G142" t="s">
        <v>893</v>
      </c>
      <c r="H142">
        <f t="shared" si="39"/>
        <v>5328756</v>
      </c>
      <c r="I142" t="s">
        <v>894</v>
      </c>
      <c r="J142">
        <v>4164781</v>
      </c>
      <c r="K142" t="s">
        <v>895</v>
      </c>
      <c r="L142">
        <f>_xlfn.NUMBERVALUE(SUBSTITUTE(SUBSTITUTE(Crypto_Data__2[[#This Row],[Price (USD)]],"$",""),",",""))</f>
        <v>6.0519999999999997E-2</v>
      </c>
      <c r="M142">
        <f t="shared" si="40"/>
        <v>5.9572792597696621E-2</v>
      </c>
      <c r="N142">
        <f t="shared" si="41"/>
        <v>9.4720740230337663E-4</v>
      </c>
      <c r="O142" t="str">
        <f t="shared" si="42"/>
        <v>Up to $10</v>
      </c>
      <c r="P142">
        <f t="shared" si="43"/>
        <v>6.1497815262676558E-2</v>
      </c>
      <c r="Q142">
        <f t="shared" si="44"/>
        <v>6.1482268E-2</v>
      </c>
      <c r="R142" t="str">
        <f t="shared" si="45"/>
        <v>$0-$5</v>
      </c>
      <c r="S142" t="str">
        <f t="shared" si="46"/>
        <v>$0.05-$0.5</v>
      </c>
      <c r="T142">
        <f t="shared" si="47"/>
        <v>1.5900000000000001E-2</v>
      </c>
    </row>
    <row r="143" spans="1:20" x14ac:dyDescent="0.3">
      <c r="A143" t="s">
        <v>896</v>
      </c>
      <c r="B14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43" t="s">
        <v>897</v>
      </c>
      <c r="D143" t="s">
        <v>898</v>
      </c>
      <c r="E143" t="str">
        <f t="shared" si="38"/>
        <v>$0-$50</v>
      </c>
      <c r="F143">
        <v>1.1000000000000001E-3</v>
      </c>
      <c r="G143" t="s">
        <v>899</v>
      </c>
      <c r="H143">
        <f t="shared" si="39"/>
        <v>5322203</v>
      </c>
      <c r="I143" t="s">
        <v>900</v>
      </c>
      <c r="J143">
        <v>3754649</v>
      </c>
      <c r="K143" t="s">
        <v>901</v>
      </c>
      <c r="L143">
        <f>_xlfn.NUMBERVALUE(SUBSTITUTE(SUBSTITUTE(Crypto_Data__2[[#This Row],[Price (USD)]],"$",""),",",""))</f>
        <v>0.26100000000000001</v>
      </c>
      <c r="M143">
        <f t="shared" si="40"/>
        <v>0.2607132154629907</v>
      </c>
      <c r="N143">
        <f t="shared" si="41"/>
        <v>2.8678453700931028E-4</v>
      </c>
      <c r="O143" t="str">
        <f t="shared" si="42"/>
        <v>Up to $10</v>
      </c>
      <c r="P143">
        <f t="shared" si="43"/>
        <v>0.26128741615777357</v>
      </c>
      <c r="Q143">
        <f t="shared" si="44"/>
        <v>0.26128710000000005</v>
      </c>
      <c r="R143" t="str">
        <f t="shared" si="45"/>
        <v>$0-$5</v>
      </c>
      <c r="S143" t="str">
        <f t="shared" si="46"/>
        <v>$0.05-$0.5</v>
      </c>
      <c r="T143">
        <f t="shared" si="47"/>
        <v>1.1000000000000001E-3</v>
      </c>
    </row>
    <row r="144" spans="1:20" x14ac:dyDescent="0.3">
      <c r="A144" t="s">
        <v>902</v>
      </c>
      <c r="B14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44" t="s">
        <v>903</v>
      </c>
      <c r="D144" t="s">
        <v>904</v>
      </c>
      <c r="E144" t="str">
        <f t="shared" si="38"/>
        <v>$0-$50</v>
      </c>
      <c r="F144">
        <v>1.1000000000000001E-3</v>
      </c>
      <c r="G144" t="s">
        <v>905</v>
      </c>
      <c r="H144">
        <f t="shared" si="39"/>
        <v>5321075</v>
      </c>
      <c r="I144" t="s">
        <v>906</v>
      </c>
      <c r="J144">
        <v>59834</v>
      </c>
      <c r="K144" t="s">
        <v>907</v>
      </c>
      <c r="L144">
        <f>_xlfn.NUMBERVALUE(SUBSTITUTE(SUBSTITUTE(Crypto_Data__2[[#This Row],[Price (USD)]],"$",""),",",""))</f>
        <v>5.8770000000000003E-3</v>
      </c>
      <c r="M144">
        <f t="shared" si="40"/>
        <v>5.8705424033563079E-3</v>
      </c>
      <c r="N144">
        <f t="shared" si="41"/>
        <v>6.4575966436924287E-6</v>
      </c>
      <c r="O144" t="str">
        <f t="shared" si="42"/>
        <v>Up to $10</v>
      </c>
      <c r="P144">
        <f t="shared" si="43"/>
        <v>5.8834718190009013E-3</v>
      </c>
      <c r="Q144">
        <f t="shared" si="44"/>
        <v>5.8834647000000012E-3</v>
      </c>
      <c r="R144" t="str">
        <f t="shared" si="45"/>
        <v>$0-$5</v>
      </c>
      <c r="S144" t="str">
        <f t="shared" si="46"/>
        <v>$0-$0.05</v>
      </c>
      <c r="T144">
        <f t="shared" si="47"/>
        <v>1.1000000000000001E-3</v>
      </c>
    </row>
    <row r="145" spans="1:20" x14ac:dyDescent="0.3">
      <c r="A145" t="s">
        <v>908</v>
      </c>
      <c r="B14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45" t="s">
        <v>909</v>
      </c>
      <c r="D145" t="s">
        <v>910</v>
      </c>
      <c r="E145" t="str">
        <f t="shared" si="38"/>
        <v>$0-$50</v>
      </c>
      <c r="F145">
        <v>2.9399999999999999E-2</v>
      </c>
      <c r="G145" t="s">
        <v>912</v>
      </c>
      <c r="H145">
        <f t="shared" si="39"/>
        <v>5289262</v>
      </c>
      <c r="I145" t="s">
        <v>913</v>
      </c>
      <c r="J145">
        <v>30255</v>
      </c>
      <c r="K145" t="s">
        <v>914</v>
      </c>
      <c r="L145">
        <f>_xlfn.NUMBERVALUE(SUBSTITUTE(SUBSTITUTE(Crypto_Data__2[[#This Row],[Price (USD)]],"$",""),",",""))</f>
        <v>1.1220000000000001E-2</v>
      </c>
      <c r="M145">
        <f t="shared" si="40"/>
        <v>1.0899553137750146E-2</v>
      </c>
      <c r="N145">
        <f t="shared" si="41"/>
        <v>3.2044686224985512E-4</v>
      </c>
      <c r="O145" t="str">
        <f t="shared" si="42"/>
        <v>Up to $10</v>
      </c>
      <c r="P145">
        <f t="shared" si="43"/>
        <v>1.1559859880486297E-2</v>
      </c>
      <c r="Q145">
        <f t="shared" si="44"/>
        <v>1.1549868000000001E-2</v>
      </c>
      <c r="R145" t="str">
        <f t="shared" si="45"/>
        <v>$0-$5</v>
      </c>
      <c r="S145" t="str">
        <f t="shared" si="46"/>
        <v>$0-$0.05</v>
      </c>
      <c r="T145">
        <f t="shared" si="47"/>
        <v>2.9399999999999999E-2</v>
      </c>
    </row>
    <row r="146" spans="1:20" x14ac:dyDescent="0.3">
      <c r="A146" t="s">
        <v>915</v>
      </c>
      <c r="B14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46" t="s">
        <v>916</v>
      </c>
      <c r="D146" t="s">
        <v>917</v>
      </c>
      <c r="E146" t="str">
        <f t="shared" si="38"/>
        <v>$0-$50</v>
      </c>
      <c r="F146">
        <v>8.9999999999999998E-4</v>
      </c>
      <c r="G146" t="s">
        <v>918</v>
      </c>
      <c r="H146">
        <f t="shared" si="39"/>
        <v>5279826</v>
      </c>
      <c r="I146" t="s">
        <v>919</v>
      </c>
      <c r="J146">
        <v>1013267</v>
      </c>
      <c r="K146" t="s">
        <v>920</v>
      </c>
      <c r="L146">
        <f>_xlfn.NUMBERVALUE(SUBSTITUTE(SUBSTITUTE(Crypto_Data__2[[#This Row],[Price (USD)]],"$",""),",",""))</f>
        <v>5.7869999999999998E-2</v>
      </c>
      <c r="M146">
        <f t="shared" si="40"/>
        <v>5.7817963832550709E-2</v>
      </c>
      <c r="N146">
        <f t="shared" si="41"/>
        <v>5.2036167449288906E-5</v>
      </c>
      <c r="O146" t="str">
        <f t="shared" si="42"/>
        <v>Up to $10</v>
      </c>
      <c r="P146">
        <f t="shared" si="43"/>
        <v>5.7922129916925233E-2</v>
      </c>
      <c r="Q146">
        <f t="shared" si="44"/>
        <v>5.7922082999999992E-2</v>
      </c>
      <c r="R146" t="str">
        <f t="shared" si="45"/>
        <v>$0-$5</v>
      </c>
      <c r="S146" t="str">
        <f t="shared" si="46"/>
        <v>$0.05-$0.5</v>
      </c>
      <c r="T146">
        <f t="shared" si="47"/>
        <v>8.9999999999999998E-4</v>
      </c>
    </row>
    <row r="147" spans="1:20" x14ac:dyDescent="0.3">
      <c r="A147" t="s">
        <v>921</v>
      </c>
      <c r="B14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47" t="s">
        <v>921</v>
      </c>
      <c r="D147" t="s">
        <v>922</v>
      </c>
      <c r="E147" t="str">
        <f t="shared" si="38"/>
        <v>$0-$50</v>
      </c>
      <c r="F147">
        <v>3.2000000000000002E-3</v>
      </c>
      <c r="G147" t="s">
        <v>923</v>
      </c>
      <c r="H147">
        <f t="shared" si="39"/>
        <v>5273359</v>
      </c>
      <c r="I147" t="s">
        <v>924</v>
      </c>
      <c r="J147">
        <v>846710</v>
      </c>
      <c r="K147" t="s">
        <v>925</v>
      </c>
      <c r="L147">
        <f>_xlfn.NUMBERVALUE(SUBSTITUTE(SUBSTITUTE(Crypto_Data__2[[#This Row],[Price (USD)]],"$",""),",",""))</f>
        <v>6.9459999999999994E-2</v>
      </c>
      <c r="M147">
        <f t="shared" si="40"/>
        <v>6.9238437001594891E-2</v>
      </c>
      <c r="N147">
        <f t="shared" si="41"/>
        <v>2.2156299840510318E-4</v>
      </c>
      <c r="O147" t="str">
        <f t="shared" si="42"/>
        <v>Up to $10</v>
      </c>
      <c r="P147">
        <f t="shared" si="43"/>
        <v>6.9682985553772059E-2</v>
      </c>
      <c r="Q147">
        <f t="shared" si="44"/>
        <v>6.9682272000000003E-2</v>
      </c>
      <c r="R147" t="str">
        <f t="shared" si="45"/>
        <v>$0-$5</v>
      </c>
      <c r="S147" t="str">
        <f t="shared" si="46"/>
        <v>$0.05-$0.5</v>
      </c>
      <c r="T147">
        <f t="shared" si="47"/>
        <v>3.2000000000000002E-3</v>
      </c>
    </row>
    <row r="148" spans="1:20" x14ac:dyDescent="0.3">
      <c r="A148" t="s">
        <v>926</v>
      </c>
      <c r="B14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48" t="s">
        <v>927</v>
      </c>
      <c r="D148" t="s">
        <v>928</v>
      </c>
      <c r="E148" t="str">
        <f t="shared" si="38"/>
        <v>$0-$50</v>
      </c>
      <c r="F148">
        <v>1.1900000000000001E-2</v>
      </c>
      <c r="G148" t="s">
        <v>929</v>
      </c>
      <c r="H148">
        <f t="shared" si="39"/>
        <v>5254151</v>
      </c>
      <c r="I148" t="s">
        <v>930</v>
      </c>
      <c r="J148">
        <v>27503</v>
      </c>
      <c r="K148" t="s">
        <v>931</v>
      </c>
      <c r="L148">
        <f>_xlfn.NUMBERVALUE(SUBSTITUTE(SUBSTITUTE(Crypto_Data__2[[#This Row],[Price (USD)]],"$",""),",",""))</f>
        <v>9.06</v>
      </c>
      <c r="M148">
        <f t="shared" si="40"/>
        <v>8.9534538986065826</v>
      </c>
      <c r="N148">
        <f t="shared" si="41"/>
        <v>0.10654610139341791</v>
      </c>
      <c r="O148" t="str">
        <f t="shared" si="42"/>
        <v>Up to $10</v>
      </c>
      <c r="P148">
        <f t="shared" si="43"/>
        <v>9.1691124380123483</v>
      </c>
      <c r="Q148">
        <f t="shared" si="44"/>
        <v>9.1678139999999999</v>
      </c>
      <c r="R148" t="str">
        <f t="shared" si="45"/>
        <v>Above $5</v>
      </c>
      <c r="S148" t="str">
        <f t="shared" si="46"/>
        <v>$5-$50</v>
      </c>
      <c r="T148">
        <f t="shared" si="47"/>
        <v>1.1900000000000001E-2</v>
      </c>
    </row>
    <row r="149" spans="1:20" x14ac:dyDescent="0.3">
      <c r="A149" t="s">
        <v>932</v>
      </c>
      <c r="B14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49" t="s">
        <v>933</v>
      </c>
      <c r="D149" t="s">
        <v>934</v>
      </c>
      <c r="E149" t="str">
        <f t="shared" si="38"/>
        <v>$0-$50</v>
      </c>
      <c r="F149">
        <v>1.1900000000000001E-2</v>
      </c>
      <c r="G149" t="s">
        <v>935</v>
      </c>
      <c r="H149">
        <f t="shared" si="39"/>
        <v>5249160</v>
      </c>
      <c r="I149" t="s">
        <v>936</v>
      </c>
      <c r="J149">
        <v>64548</v>
      </c>
      <c r="K149" t="s">
        <v>937</v>
      </c>
      <c r="L149">
        <f>_xlfn.NUMBERVALUE(SUBSTITUTE(SUBSTITUTE(Crypto_Data__2[[#This Row],[Price (USD)]],"$",""),",",""))</f>
        <v>0.30370000000000003</v>
      </c>
      <c r="M149">
        <f t="shared" si="40"/>
        <v>0.30012847119280561</v>
      </c>
      <c r="N149">
        <f t="shared" si="41"/>
        <v>3.5715288071944129E-3</v>
      </c>
      <c r="O149" t="str">
        <f t="shared" si="42"/>
        <v>Up to $10</v>
      </c>
      <c r="P149">
        <f t="shared" si="43"/>
        <v>0.30735755490334987</v>
      </c>
      <c r="Q149">
        <f t="shared" si="44"/>
        <v>0.30731403000000002</v>
      </c>
      <c r="R149" t="str">
        <f t="shared" si="45"/>
        <v>$0-$5</v>
      </c>
      <c r="S149" t="str">
        <f t="shared" si="46"/>
        <v>$0.05-$0.5</v>
      </c>
      <c r="T149">
        <f t="shared" si="47"/>
        <v>1.1900000000000001E-2</v>
      </c>
    </row>
    <row r="150" spans="1:20" x14ac:dyDescent="0.3">
      <c r="A150" t="s">
        <v>938</v>
      </c>
      <c r="B15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50" t="s">
        <v>939</v>
      </c>
      <c r="D150" t="s">
        <v>940</v>
      </c>
      <c r="E150" t="str">
        <f t="shared" si="38"/>
        <v>$0-$50</v>
      </c>
      <c r="F150">
        <v>9.1000000000000004E-3</v>
      </c>
      <c r="G150" t="s">
        <v>942</v>
      </c>
      <c r="H150">
        <f t="shared" si="39"/>
        <v>5236511</v>
      </c>
      <c r="I150" t="s">
        <v>943</v>
      </c>
      <c r="J150">
        <v>2582102</v>
      </c>
      <c r="K150" t="s">
        <v>944</v>
      </c>
      <c r="L150">
        <f>_xlfn.NUMBERVALUE(SUBSTITUTE(SUBSTITUTE(Crypto_Data__2[[#This Row],[Price (USD)]],"$",""),",",""))</f>
        <v>5.2379999999999996E-3</v>
      </c>
      <c r="M150">
        <f t="shared" si="40"/>
        <v>5.1907640471707452E-3</v>
      </c>
      <c r="N150">
        <f t="shared" si="41"/>
        <v>4.7235952829254371E-5</v>
      </c>
      <c r="O150" t="str">
        <f t="shared" si="42"/>
        <v>Up to $10</v>
      </c>
      <c r="P150">
        <f t="shared" si="43"/>
        <v>5.2861035422343324E-3</v>
      </c>
      <c r="Q150">
        <f t="shared" si="44"/>
        <v>5.2856658000000004E-3</v>
      </c>
      <c r="R150" t="str">
        <f t="shared" si="45"/>
        <v>$0-$5</v>
      </c>
      <c r="S150" t="str">
        <f t="shared" si="46"/>
        <v>$0-$0.05</v>
      </c>
      <c r="T150">
        <f t="shared" si="47"/>
        <v>9.1000000000000004E-3</v>
      </c>
    </row>
    <row r="151" spans="1:20" x14ac:dyDescent="0.3">
      <c r="A151" t="s">
        <v>945</v>
      </c>
      <c r="B15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51" t="s">
        <v>946</v>
      </c>
      <c r="D151" t="s">
        <v>947</v>
      </c>
      <c r="E151" t="str">
        <f t="shared" si="38"/>
        <v>$0-$50</v>
      </c>
      <c r="F151">
        <v>2.9999999999999997E-4</v>
      </c>
      <c r="G151" t="s">
        <v>948</v>
      </c>
      <c r="H151">
        <f t="shared" si="39"/>
        <v>5209385</v>
      </c>
      <c r="I151" t="s">
        <v>949</v>
      </c>
      <c r="J151">
        <v>289972</v>
      </c>
      <c r="K151" t="s">
        <v>950</v>
      </c>
      <c r="L151">
        <f>_xlfn.NUMBERVALUE(SUBSTITUTE(SUBSTITUTE(Crypto_Data__2[[#This Row],[Price (USD)]],"$",""),",",""))</f>
        <v>2.444E-2</v>
      </c>
      <c r="M151">
        <f t="shared" si="40"/>
        <v>2.4432670198940319E-2</v>
      </c>
      <c r="N151">
        <f t="shared" si="41"/>
        <v>7.3298010596807572E-6</v>
      </c>
      <c r="O151" t="str">
        <f t="shared" si="42"/>
        <v>Up to $10</v>
      </c>
      <c r="P151">
        <f t="shared" si="43"/>
        <v>2.4447334200260077E-2</v>
      </c>
      <c r="Q151">
        <f t="shared" si="44"/>
        <v>2.4447331999999999E-2</v>
      </c>
      <c r="R151" t="str">
        <f t="shared" si="45"/>
        <v>$0-$5</v>
      </c>
      <c r="S151" t="str">
        <f t="shared" si="46"/>
        <v>$0-$0.05</v>
      </c>
      <c r="T151">
        <f t="shared" si="47"/>
        <v>2.9999999999999997E-4</v>
      </c>
    </row>
    <row r="152" spans="1:20" x14ac:dyDescent="0.3">
      <c r="A152" t="s">
        <v>951</v>
      </c>
      <c r="B15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52" t="s">
        <v>952</v>
      </c>
      <c r="D152" t="s">
        <v>953</v>
      </c>
      <c r="E152" t="str">
        <f t="shared" si="38"/>
        <v>$0-$50</v>
      </c>
      <c r="F152">
        <v>1.3299999999999999E-2</v>
      </c>
      <c r="G152" t="s">
        <v>955</v>
      </c>
      <c r="H152">
        <f t="shared" si="39"/>
        <v>4203318</v>
      </c>
      <c r="I152" t="s">
        <v>956</v>
      </c>
      <c r="J152">
        <v>369327</v>
      </c>
      <c r="K152" t="s">
        <v>957</v>
      </c>
      <c r="L152">
        <f>_xlfn.NUMBERVALUE(SUBSTITUTE(SUBSTITUTE(Crypto_Data__2[[#This Row],[Price (USD)]],"$",""),",",""))</f>
        <v>8.4376000000000007E-2</v>
      </c>
      <c r="M152">
        <f t="shared" si="40"/>
        <v>8.3268528570018749E-2</v>
      </c>
      <c r="N152">
        <f t="shared" si="41"/>
        <v>1.1074714299812577E-3</v>
      </c>
      <c r="O152" t="str">
        <f t="shared" si="42"/>
        <v>Up to $10</v>
      </c>
      <c r="P152">
        <f t="shared" si="43"/>
        <v>8.5513327252457694E-2</v>
      </c>
      <c r="Q152">
        <f t="shared" si="44"/>
        <v>8.5498200800000021E-2</v>
      </c>
      <c r="R152" t="str">
        <f t="shared" si="45"/>
        <v>$0-$5</v>
      </c>
      <c r="S152" t="str">
        <f t="shared" si="46"/>
        <v>$0.05-$0.5</v>
      </c>
      <c r="T152">
        <f t="shared" si="47"/>
        <v>1.3299999999999999E-2</v>
      </c>
    </row>
    <row r="153" spans="1:20" x14ac:dyDescent="0.3">
      <c r="A153" t="s">
        <v>958</v>
      </c>
      <c r="B15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53" t="s">
        <v>959</v>
      </c>
      <c r="D153" t="s">
        <v>960</v>
      </c>
      <c r="E153" t="str">
        <f t="shared" si="38"/>
        <v>$0-$50</v>
      </c>
      <c r="F153">
        <v>0</v>
      </c>
      <c r="G153" t="s">
        <v>961</v>
      </c>
      <c r="H153">
        <f t="shared" si="39"/>
        <v>4202448</v>
      </c>
      <c r="I153" t="s">
        <v>330</v>
      </c>
      <c r="J153" t="e">
        <v>#VALUE!</v>
      </c>
      <c r="K153" t="s">
        <v>962</v>
      </c>
      <c r="L153">
        <f>_xlfn.NUMBERVALUE(SUBSTITUTE(SUBSTITUTE(Crypto_Data__2[[#This Row],[Price (USD)]],"$",""),",",""))</f>
        <v>3.7010000000000001E-2</v>
      </c>
      <c r="M153">
        <f t="shared" si="40"/>
        <v>3.7010000000000001E-2</v>
      </c>
      <c r="N153">
        <f t="shared" si="41"/>
        <v>0</v>
      </c>
      <c r="O153" t="str">
        <f t="shared" si="42"/>
        <v>Up to $10</v>
      </c>
      <c r="P153">
        <f t="shared" si="43"/>
        <v>3.7010000000000001E-2</v>
      </c>
      <c r="Q153">
        <f t="shared" si="44"/>
        <v>3.7010000000000001E-2</v>
      </c>
      <c r="R153" t="str">
        <f t="shared" si="45"/>
        <v>$0-$5</v>
      </c>
      <c r="S153" t="str">
        <f t="shared" si="46"/>
        <v>$0-$0.05</v>
      </c>
      <c r="T153">
        <f t="shared" si="47"/>
        <v>0</v>
      </c>
    </row>
    <row r="154" spans="1:20" x14ac:dyDescent="0.3">
      <c r="A154" t="s">
        <v>963</v>
      </c>
      <c r="B15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54" t="s">
        <v>964</v>
      </c>
      <c r="D154" t="s">
        <v>965</v>
      </c>
      <c r="E154" t="str">
        <f t="shared" si="38"/>
        <v>$0-$50</v>
      </c>
      <c r="F154">
        <v>0</v>
      </c>
      <c r="G154" t="s">
        <v>966</v>
      </c>
      <c r="H154">
        <f t="shared" si="39"/>
        <v>4193254</v>
      </c>
      <c r="I154" t="s">
        <v>330</v>
      </c>
      <c r="J154" t="e">
        <v>#VALUE!</v>
      </c>
      <c r="K154" t="s">
        <v>967</v>
      </c>
      <c r="L154">
        <f>_xlfn.NUMBERVALUE(SUBSTITUTE(SUBSTITUTE(Crypto_Data__2[[#This Row],[Price (USD)]],"$",""),",",""))</f>
        <v>9.7759999999999991E-4</v>
      </c>
      <c r="M154">
        <f t="shared" si="40"/>
        <v>9.7759999999999991E-4</v>
      </c>
      <c r="N154">
        <f t="shared" si="41"/>
        <v>0</v>
      </c>
      <c r="O154" t="str">
        <f t="shared" si="42"/>
        <v>Up to $10</v>
      </c>
      <c r="P154">
        <f t="shared" si="43"/>
        <v>9.7759999999999991E-4</v>
      </c>
      <c r="Q154">
        <f t="shared" si="44"/>
        <v>9.7759999999999991E-4</v>
      </c>
      <c r="R154" t="str">
        <f t="shared" si="45"/>
        <v>$0-$5</v>
      </c>
      <c r="S154" t="str">
        <f t="shared" si="46"/>
        <v>$0-$0.05</v>
      </c>
      <c r="T154">
        <f t="shared" si="47"/>
        <v>0</v>
      </c>
    </row>
    <row r="155" spans="1:20" x14ac:dyDescent="0.3">
      <c r="A155" t="s">
        <v>968</v>
      </c>
      <c r="B15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55" t="s">
        <v>969</v>
      </c>
      <c r="D155" t="s">
        <v>970</v>
      </c>
      <c r="E155" t="str">
        <f t="shared" si="38"/>
        <v>$0-$50</v>
      </c>
      <c r="F155">
        <v>3.6900000000000002E-2</v>
      </c>
      <c r="G155" t="s">
        <v>972</v>
      </c>
      <c r="H155">
        <f t="shared" si="39"/>
        <v>4174785</v>
      </c>
      <c r="I155" t="s">
        <v>973</v>
      </c>
      <c r="J155">
        <v>10230683</v>
      </c>
      <c r="K155" t="s">
        <v>974</v>
      </c>
      <c r="L155">
        <f>_xlfn.NUMBERVALUE(SUBSTITUTE(SUBSTITUTE(Crypto_Data__2[[#This Row],[Price (USD)]],"$",""),",",""))</f>
        <v>6.9570000000000005E-4</v>
      </c>
      <c r="M155">
        <f t="shared" si="40"/>
        <v>6.7094223165203978E-4</v>
      </c>
      <c r="N155">
        <f t="shared" si="41"/>
        <v>2.4757768347960269E-5</v>
      </c>
      <c r="O155" t="str">
        <f t="shared" si="42"/>
        <v>Up to $10</v>
      </c>
      <c r="P155">
        <f t="shared" si="43"/>
        <v>7.2235489564946532E-4</v>
      </c>
      <c r="Q155">
        <f t="shared" si="44"/>
        <v>7.2137133000000004E-4</v>
      </c>
      <c r="R155" t="str">
        <f t="shared" si="45"/>
        <v>$0-$5</v>
      </c>
      <c r="S155" t="str">
        <f t="shared" si="46"/>
        <v>$0-$0.05</v>
      </c>
      <c r="T155">
        <f t="shared" si="47"/>
        <v>3.6900000000000002E-2</v>
      </c>
    </row>
    <row r="156" spans="1:20" x14ac:dyDescent="0.3">
      <c r="A156" t="s">
        <v>975</v>
      </c>
      <c r="B15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56" t="s">
        <v>976</v>
      </c>
      <c r="D156" t="s">
        <v>977</v>
      </c>
      <c r="E156" t="str">
        <f t="shared" si="38"/>
        <v>$0-$50</v>
      </c>
      <c r="F156">
        <v>1E-3</v>
      </c>
      <c r="G156" t="s">
        <v>978</v>
      </c>
      <c r="H156">
        <f t="shared" si="39"/>
        <v>4163952</v>
      </c>
      <c r="I156" t="s">
        <v>979</v>
      </c>
      <c r="J156">
        <v>96917</v>
      </c>
      <c r="K156" t="s">
        <v>980</v>
      </c>
      <c r="L156">
        <f>_xlfn.NUMBERVALUE(SUBSTITUTE(SUBSTITUTE(Crypto_Data__2[[#This Row],[Price (USD)]],"$",""),",",""))</f>
        <v>2.7619999999999999E-2</v>
      </c>
      <c r="M156">
        <f t="shared" si="40"/>
        <v>2.7592407592407595E-2</v>
      </c>
      <c r="N156">
        <f t="shared" si="41"/>
        <v>2.7592407592404167E-5</v>
      </c>
      <c r="O156" t="str">
        <f t="shared" si="42"/>
        <v>Up to $10</v>
      </c>
      <c r="P156">
        <f t="shared" si="43"/>
        <v>2.7647647647647645E-2</v>
      </c>
      <c r="Q156">
        <f t="shared" si="44"/>
        <v>2.7647619999999994E-2</v>
      </c>
      <c r="R156" t="str">
        <f t="shared" si="45"/>
        <v>$0-$5</v>
      </c>
      <c r="S156" t="str">
        <f t="shared" si="46"/>
        <v>$0-$0.05</v>
      </c>
      <c r="T156">
        <f t="shared" si="47"/>
        <v>1E-3</v>
      </c>
    </row>
    <row r="157" spans="1:20" x14ac:dyDescent="0.3">
      <c r="A157" t="s">
        <v>981</v>
      </c>
      <c r="B15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57" t="s">
        <v>982</v>
      </c>
      <c r="D157" t="s">
        <v>983</v>
      </c>
      <c r="E157" t="str">
        <f t="shared" si="38"/>
        <v>$0-$50</v>
      </c>
      <c r="F157">
        <v>2.2000000000000001E-3</v>
      </c>
      <c r="G157" t="s">
        <v>984</v>
      </c>
      <c r="H157">
        <f t="shared" si="39"/>
        <v>4148747</v>
      </c>
      <c r="I157" t="s">
        <v>985</v>
      </c>
      <c r="J157">
        <v>8766</v>
      </c>
      <c r="K157" t="s">
        <v>986</v>
      </c>
      <c r="L157">
        <f>_xlfn.NUMBERVALUE(SUBSTITUTE(SUBSTITUTE(Crypto_Data__2[[#This Row],[Price (USD)]],"$",""),",",""))</f>
        <v>3.9389999999999998E-3</v>
      </c>
      <c r="M157">
        <f t="shared" si="40"/>
        <v>3.9303532229095989E-3</v>
      </c>
      <c r="N157">
        <f t="shared" si="41"/>
        <v>8.6467770904008825E-6</v>
      </c>
      <c r="O157" t="str">
        <f t="shared" si="42"/>
        <v>Up to $10</v>
      </c>
      <c r="P157">
        <f t="shared" si="43"/>
        <v>3.9476849067949489E-3</v>
      </c>
      <c r="Q157">
        <f t="shared" si="44"/>
        <v>3.9476657999999998E-3</v>
      </c>
      <c r="R157" t="str">
        <f t="shared" si="45"/>
        <v>$0-$5</v>
      </c>
      <c r="S157" t="str">
        <f t="shared" si="46"/>
        <v>$0-$0.05</v>
      </c>
      <c r="T157">
        <f t="shared" si="47"/>
        <v>2.2000000000000001E-3</v>
      </c>
    </row>
    <row r="158" spans="1:20" x14ac:dyDescent="0.3">
      <c r="A158" t="s">
        <v>987</v>
      </c>
      <c r="B15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58" t="s">
        <v>987</v>
      </c>
      <c r="D158" t="s">
        <v>988</v>
      </c>
      <c r="E158" t="str">
        <f t="shared" si="38"/>
        <v>$0-$50</v>
      </c>
      <c r="F158">
        <v>1E-4</v>
      </c>
      <c r="G158" t="s">
        <v>989</v>
      </c>
      <c r="H158">
        <f t="shared" si="39"/>
        <v>4145259</v>
      </c>
      <c r="I158" t="s">
        <v>330</v>
      </c>
      <c r="J158" t="e">
        <v>#VALUE!</v>
      </c>
      <c r="K158" t="s">
        <v>990</v>
      </c>
      <c r="L158">
        <f>_xlfn.NUMBERVALUE(SUBSTITUTE(SUBSTITUTE(Crypto_Data__2[[#This Row],[Price (USD)]],"$",""),",",""))</f>
        <v>0.44219999999999998</v>
      </c>
      <c r="M158">
        <f t="shared" si="40"/>
        <v>0.44215578442155784</v>
      </c>
      <c r="N158">
        <f t="shared" si="41"/>
        <v>4.4215578442141634E-5</v>
      </c>
      <c r="O158" t="str">
        <f t="shared" si="42"/>
        <v>Up to $10</v>
      </c>
      <c r="P158">
        <f t="shared" si="43"/>
        <v>0.44224422442244221</v>
      </c>
      <c r="Q158">
        <f t="shared" si="44"/>
        <v>0.44224421999999997</v>
      </c>
      <c r="R158" t="str">
        <f t="shared" si="45"/>
        <v>$0-$5</v>
      </c>
      <c r="S158" t="str">
        <f t="shared" si="46"/>
        <v>$0.05-$0.5</v>
      </c>
      <c r="T158">
        <f t="shared" si="47"/>
        <v>1E-4</v>
      </c>
    </row>
    <row r="159" spans="1:20" x14ac:dyDescent="0.3">
      <c r="A159" t="s">
        <v>991</v>
      </c>
      <c r="B15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59" t="s">
        <v>992</v>
      </c>
      <c r="D159" t="s">
        <v>993</v>
      </c>
      <c r="E159" t="str">
        <f t="shared" si="38"/>
        <v>$0-$50</v>
      </c>
      <c r="F159">
        <v>9.7999999999999997E-3</v>
      </c>
      <c r="G159" t="s">
        <v>995</v>
      </c>
      <c r="H159">
        <f t="shared" si="39"/>
        <v>4140168</v>
      </c>
      <c r="I159" t="s">
        <v>996</v>
      </c>
      <c r="J159">
        <v>106213</v>
      </c>
      <c r="K159" t="s">
        <v>997</v>
      </c>
      <c r="L159">
        <f>_xlfn.NUMBERVALUE(SUBSTITUTE(SUBSTITUTE(Crypto_Data__2[[#This Row],[Price (USD)]],"$",""),",",""))</f>
        <v>0.20660000000000001</v>
      </c>
      <c r="M159">
        <f t="shared" si="40"/>
        <v>0.20459496930085166</v>
      </c>
      <c r="N159">
        <f t="shared" si="41"/>
        <v>2.0050306991483413E-3</v>
      </c>
      <c r="O159" t="str">
        <f t="shared" si="42"/>
        <v>Up to $10</v>
      </c>
      <c r="P159">
        <f t="shared" si="43"/>
        <v>0.20864471823873967</v>
      </c>
      <c r="Q159">
        <f t="shared" si="44"/>
        <v>0.20862468000000001</v>
      </c>
      <c r="R159" t="str">
        <f t="shared" si="45"/>
        <v>$0-$5</v>
      </c>
      <c r="S159" t="str">
        <f t="shared" si="46"/>
        <v>$0.05-$0.5</v>
      </c>
      <c r="T159">
        <f t="shared" si="47"/>
        <v>9.7999999999999997E-3</v>
      </c>
    </row>
    <row r="160" spans="1:20" x14ac:dyDescent="0.3">
      <c r="A160" t="s">
        <v>998</v>
      </c>
      <c r="B16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60" t="s">
        <v>999</v>
      </c>
      <c r="D160" t="s">
        <v>1000</v>
      </c>
      <c r="E160" t="str">
        <f t="shared" si="38"/>
        <v>$0-$50</v>
      </c>
      <c r="F160">
        <v>2.9999999999999997E-4</v>
      </c>
      <c r="G160" t="s">
        <v>1001</v>
      </c>
      <c r="H160">
        <f t="shared" si="39"/>
        <v>4138839</v>
      </c>
      <c r="I160" t="s">
        <v>1002</v>
      </c>
      <c r="J160">
        <v>847</v>
      </c>
      <c r="K160" t="s">
        <v>1003</v>
      </c>
      <c r="L160">
        <f>_xlfn.NUMBERVALUE(SUBSTITUTE(SUBSTITUTE(Crypto_Data__2[[#This Row],[Price (USD)]],"$",""),",",""))</f>
        <v>9.4700000000000003E-4</v>
      </c>
      <c r="M160">
        <f t="shared" si="40"/>
        <v>9.4671598520443875E-4</v>
      </c>
      <c r="N160">
        <f t="shared" si="41"/>
        <v>2.8401479556128695E-7</v>
      </c>
      <c r="O160" t="str">
        <f t="shared" si="42"/>
        <v>Up to $10</v>
      </c>
      <c r="P160">
        <f t="shared" si="43"/>
        <v>9.4728418525557667E-4</v>
      </c>
      <c r="Q160">
        <f t="shared" si="44"/>
        <v>9.4728409999999999E-4</v>
      </c>
      <c r="R160" t="str">
        <f t="shared" si="45"/>
        <v>$0-$5</v>
      </c>
      <c r="S160" t="str">
        <f t="shared" si="46"/>
        <v>$0-$0.05</v>
      </c>
      <c r="T160">
        <f t="shared" si="47"/>
        <v>2.9999999999999997E-4</v>
      </c>
    </row>
    <row r="161" spans="1:20" x14ac:dyDescent="0.3">
      <c r="A161" t="s">
        <v>1004</v>
      </c>
      <c r="B16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61" t="s">
        <v>1005</v>
      </c>
      <c r="D161" t="s">
        <v>1006</v>
      </c>
      <c r="E161" t="str">
        <f t="shared" si="38"/>
        <v>$0-$50</v>
      </c>
      <c r="F161">
        <v>6.8999999999999999E-3</v>
      </c>
      <c r="G161" t="s">
        <v>1008</v>
      </c>
      <c r="H161">
        <f t="shared" si="39"/>
        <v>4130541</v>
      </c>
      <c r="I161" t="s">
        <v>1009</v>
      </c>
      <c r="J161">
        <v>355240</v>
      </c>
      <c r="K161" t="s">
        <v>1010</v>
      </c>
      <c r="L161">
        <f>_xlfn.NUMBERVALUE(SUBSTITUTE(SUBSTITUTE(Crypto_Data__2[[#This Row],[Price (USD)]],"$",""),",",""))</f>
        <v>8.2609999999999997E-4</v>
      </c>
      <c r="M161">
        <f t="shared" si="40"/>
        <v>8.2043897109941404E-4</v>
      </c>
      <c r="N161">
        <f t="shared" si="41"/>
        <v>5.6610289005859299E-6</v>
      </c>
      <c r="O161" t="str">
        <f t="shared" si="42"/>
        <v>Up to $10</v>
      </c>
      <c r="P161">
        <f t="shared" si="43"/>
        <v>8.3183969388782601E-4</v>
      </c>
      <c r="Q161">
        <f t="shared" si="44"/>
        <v>8.3180008999999991E-4</v>
      </c>
      <c r="R161" t="str">
        <f t="shared" si="45"/>
        <v>$0-$5</v>
      </c>
      <c r="S161" t="str">
        <f t="shared" si="46"/>
        <v>$0-$0.05</v>
      </c>
      <c r="T161">
        <f t="shared" si="47"/>
        <v>6.8999999999999999E-3</v>
      </c>
    </row>
    <row r="162" spans="1:20" x14ac:dyDescent="0.3">
      <c r="A162" t="s">
        <v>1011</v>
      </c>
      <c r="B16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62" t="s">
        <v>1012</v>
      </c>
      <c r="D162" t="s">
        <v>1013</v>
      </c>
      <c r="E162" t="str">
        <f t="shared" si="38"/>
        <v>$0-$50</v>
      </c>
      <c r="F162">
        <v>0</v>
      </c>
      <c r="G162" t="s">
        <v>1014</v>
      </c>
      <c r="H162">
        <f t="shared" ref="H162:H193" si="48">_xlfn.NUMBERVALUE(SUBSTITUTE(SUBSTITUTE(G162,"$",""),",",""))</f>
        <v>3350959</v>
      </c>
      <c r="I162" t="s">
        <v>330</v>
      </c>
      <c r="J162" t="e">
        <v>#VALUE!</v>
      </c>
      <c r="K162" t="s">
        <v>1003</v>
      </c>
      <c r="L162">
        <f>_xlfn.NUMBERVALUE(SUBSTITUTE(SUBSTITUTE(Crypto_Data__2[[#This Row],[Price (USD)]],"$",""),",",""))</f>
        <v>7.6659999999999999E-4</v>
      </c>
      <c r="M162">
        <f t="shared" ref="M162:M193" si="49">L162/(1+F162)</f>
        <v>7.6659999999999999E-4</v>
      </c>
      <c r="N162">
        <f t="shared" ref="N162:N193" si="50">L162-M162</f>
        <v>0</v>
      </c>
      <c r="O162" t="str">
        <f t="shared" ref="O162:O193" si="51">IF(L162&lt;10,"Up to $10","&gt;= $10")</f>
        <v>Up to $10</v>
      </c>
      <c r="P162">
        <f t="shared" ref="P162:P193" si="52">L162/(1-F162)</f>
        <v>7.6659999999999999E-4</v>
      </c>
      <c r="Q162">
        <f t="shared" ref="Q162:Q193" si="53">L162*(1+F162)</f>
        <v>7.6659999999999999E-4</v>
      </c>
      <c r="R162" t="str">
        <f t="shared" ref="R162:R193" si="54">IF(L162&lt;=5,"$0-$5","Above $5")</f>
        <v>$0-$5</v>
      </c>
      <c r="S162" t="str">
        <f t="shared" ref="S162:S193" si="55">IF(L162&lt;=0.05,"$0-$0.05",
IF(L162&lt;=0.5,"$0.05-$0.5",
IF(L162&lt;=5,"$0.5-$5",
IF(L162&lt;=50,"$5-$50","&gt;$50"))))</f>
        <v>$0-$0.05</v>
      </c>
      <c r="T162">
        <f t="shared" ref="T162:T193" si="56">ABS(F162)</f>
        <v>0</v>
      </c>
    </row>
    <row r="163" spans="1:20" x14ac:dyDescent="0.3">
      <c r="A163" t="s">
        <v>1015</v>
      </c>
      <c r="B16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63" t="s">
        <v>1016</v>
      </c>
      <c r="D163" t="s">
        <v>1017</v>
      </c>
      <c r="E163" t="str">
        <f t="shared" si="38"/>
        <v>$0-$50</v>
      </c>
      <c r="F163">
        <v>2.7000000000000001E-3</v>
      </c>
      <c r="G163" t="s">
        <v>1019</v>
      </c>
      <c r="H163">
        <f t="shared" si="48"/>
        <v>3346569</v>
      </c>
      <c r="I163" t="s">
        <v>1020</v>
      </c>
      <c r="J163">
        <v>331094</v>
      </c>
      <c r="K163" t="s">
        <v>1021</v>
      </c>
      <c r="L163">
        <f>_xlfn.NUMBERVALUE(SUBSTITUTE(SUBSTITUTE(Crypto_Data__2[[#This Row],[Price (USD)]],"$",""),",",""))</f>
        <v>0.16200000000000001</v>
      </c>
      <c r="M163">
        <f t="shared" si="49"/>
        <v>0.16156377779994019</v>
      </c>
      <c r="N163">
        <f t="shared" si="50"/>
        <v>4.3622220005981593E-4</v>
      </c>
      <c r="O163" t="str">
        <f t="shared" si="51"/>
        <v>Up to $10</v>
      </c>
      <c r="P163">
        <f t="shared" si="52"/>
        <v>0.16243858417727866</v>
      </c>
      <c r="Q163">
        <f t="shared" si="53"/>
        <v>0.16243739999999998</v>
      </c>
      <c r="R163" t="str">
        <f t="shared" si="54"/>
        <v>$0-$5</v>
      </c>
      <c r="S163" t="str">
        <f t="shared" si="55"/>
        <v>$0.05-$0.5</v>
      </c>
      <c r="T163">
        <f t="shared" si="56"/>
        <v>2.7000000000000001E-3</v>
      </c>
    </row>
    <row r="164" spans="1:20" x14ac:dyDescent="0.3">
      <c r="A164" t="s">
        <v>1022</v>
      </c>
      <c r="B16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64" t="s">
        <v>1023</v>
      </c>
      <c r="D164" t="s">
        <v>1024</v>
      </c>
      <c r="E164" t="str">
        <f t="shared" si="38"/>
        <v>$0-$50</v>
      </c>
      <c r="F164">
        <v>5.4000000000000003E-3</v>
      </c>
      <c r="G164" t="s">
        <v>1026</v>
      </c>
      <c r="H164">
        <f t="shared" si="48"/>
        <v>3339357</v>
      </c>
      <c r="I164" t="s">
        <v>1027</v>
      </c>
      <c r="J164">
        <v>18420</v>
      </c>
      <c r="K164" t="s">
        <v>1028</v>
      </c>
      <c r="L164">
        <f>_xlfn.NUMBERVALUE(SUBSTITUTE(SUBSTITUTE(Crypto_Data__2[[#This Row],[Price (USD)]],"$",""),",",""))</f>
        <v>1.237E-3</v>
      </c>
      <c r="M164">
        <f t="shared" si="49"/>
        <v>1.2303560771832105E-3</v>
      </c>
      <c r="N164">
        <f t="shared" si="50"/>
        <v>6.6439228167895336E-6</v>
      </c>
      <c r="O164" t="str">
        <f t="shared" si="51"/>
        <v>Up to $10</v>
      </c>
      <c r="P164">
        <f t="shared" si="52"/>
        <v>1.2437160667605068E-3</v>
      </c>
      <c r="Q164">
        <f t="shared" si="53"/>
        <v>1.2436798000000002E-3</v>
      </c>
      <c r="R164" t="str">
        <f t="shared" si="54"/>
        <v>$0-$5</v>
      </c>
      <c r="S164" t="str">
        <f t="shared" si="55"/>
        <v>$0-$0.05</v>
      </c>
      <c r="T164">
        <f t="shared" si="56"/>
        <v>5.4000000000000003E-3</v>
      </c>
    </row>
    <row r="165" spans="1:20" x14ac:dyDescent="0.3">
      <c r="A165" t="s">
        <v>1029</v>
      </c>
      <c r="B16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65" t="s">
        <v>1029</v>
      </c>
      <c r="D165" t="s">
        <v>1030</v>
      </c>
      <c r="E165" t="str">
        <f t="shared" si="38"/>
        <v>$0-$50</v>
      </c>
      <c r="F165">
        <v>9.5999999999999992E-3</v>
      </c>
      <c r="G165" t="s">
        <v>1032</v>
      </c>
      <c r="H165">
        <f t="shared" si="48"/>
        <v>3333341</v>
      </c>
      <c r="I165" t="s">
        <v>1033</v>
      </c>
      <c r="J165">
        <v>1613699</v>
      </c>
      <c r="K165" t="s">
        <v>1034</v>
      </c>
      <c r="L165">
        <f>_xlfn.NUMBERVALUE(SUBSTITUTE(SUBSTITUTE(Crypto_Data__2[[#This Row],[Price (USD)]],"$",""),",",""))</f>
        <v>4.016E-4</v>
      </c>
      <c r="M165">
        <f t="shared" si="49"/>
        <v>3.9778129952456416E-4</v>
      </c>
      <c r="N165">
        <f t="shared" si="50"/>
        <v>3.8187004754358439E-6</v>
      </c>
      <c r="O165" t="str">
        <f t="shared" si="51"/>
        <v>Up to $10</v>
      </c>
      <c r="P165">
        <f t="shared" si="52"/>
        <v>4.0549273021001618E-4</v>
      </c>
      <c r="Q165">
        <f t="shared" si="53"/>
        <v>4.0545536000000001E-4</v>
      </c>
      <c r="R165" t="str">
        <f t="shared" si="54"/>
        <v>$0-$5</v>
      </c>
      <c r="S165" t="str">
        <f t="shared" si="55"/>
        <v>$0-$0.05</v>
      </c>
      <c r="T165">
        <f t="shared" si="56"/>
        <v>9.5999999999999992E-3</v>
      </c>
    </row>
    <row r="166" spans="1:20" x14ac:dyDescent="0.3">
      <c r="A166" t="s">
        <v>1035</v>
      </c>
      <c r="B16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66" t="s">
        <v>1036</v>
      </c>
      <c r="D166" t="s">
        <v>1037</v>
      </c>
      <c r="E166" t="str">
        <f t="shared" si="38"/>
        <v>$0-$50</v>
      </c>
      <c r="F166">
        <v>1.6000000000000001E-3</v>
      </c>
      <c r="G166" t="s">
        <v>1038</v>
      </c>
      <c r="H166">
        <f t="shared" si="48"/>
        <v>3321989</v>
      </c>
      <c r="I166" t="s">
        <v>1039</v>
      </c>
      <c r="J166">
        <v>875780</v>
      </c>
      <c r="K166" t="s">
        <v>1040</v>
      </c>
      <c r="L166">
        <f>_xlfn.NUMBERVALUE(SUBSTITUTE(SUBSTITUTE(Crypto_Data__2[[#This Row],[Price (USD)]],"$",""),",",""))</f>
        <v>5.4039999999999998E-2</v>
      </c>
      <c r="M166">
        <f t="shared" si="49"/>
        <v>5.3953674121405747E-2</v>
      </c>
      <c r="N166">
        <f t="shared" si="50"/>
        <v>8.6325878594251115E-5</v>
      </c>
      <c r="O166" t="str">
        <f t="shared" si="51"/>
        <v>Up to $10</v>
      </c>
      <c r="P166">
        <f t="shared" si="52"/>
        <v>5.4126602564102566E-2</v>
      </c>
      <c r="Q166">
        <f t="shared" si="53"/>
        <v>5.4126463999999999E-2</v>
      </c>
      <c r="R166" t="str">
        <f t="shared" si="54"/>
        <v>$0-$5</v>
      </c>
      <c r="S166" t="str">
        <f t="shared" si="55"/>
        <v>$0.05-$0.5</v>
      </c>
      <c r="T166">
        <f t="shared" si="56"/>
        <v>1.6000000000000001E-3</v>
      </c>
    </row>
    <row r="167" spans="1:20" x14ac:dyDescent="0.3">
      <c r="A167" t="s">
        <v>1041</v>
      </c>
      <c r="B16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67" t="s">
        <v>1042</v>
      </c>
      <c r="D167" t="s">
        <v>1043</v>
      </c>
      <c r="E167" t="str">
        <f t="shared" si="38"/>
        <v>$0-$50</v>
      </c>
      <c r="F167">
        <v>1.12E-2</v>
      </c>
      <c r="G167" t="s">
        <v>1045</v>
      </c>
      <c r="H167">
        <f t="shared" si="48"/>
        <v>3318891</v>
      </c>
      <c r="I167" t="s">
        <v>1046</v>
      </c>
      <c r="J167">
        <v>2394175</v>
      </c>
      <c r="K167" t="s">
        <v>1047</v>
      </c>
      <c r="L167">
        <f>_xlfn.NUMBERVALUE(SUBSTITUTE(SUBSTITUTE(Crypto_Data__2[[#This Row],[Price (USD)]],"$",""),",",""))</f>
        <v>1.32E-2</v>
      </c>
      <c r="M167">
        <f t="shared" si="49"/>
        <v>1.3053797468354429E-2</v>
      </c>
      <c r="N167">
        <f t="shared" si="50"/>
        <v>1.4620253164557111E-4</v>
      </c>
      <c r="O167" t="str">
        <f t="shared" si="51"/>
        <v>Up to $10</v>
      </c>
      <c r="P167">
        <f t="shared" si="52"/>
        <v>1.3349514563106795E-2</v>
      </c>
      <c r="Q167">
        <f t="shared" si="53"/>
        <v>1.3347840000000001E-2</v>
      </c>
      <c r="R167" t="str">
        <f t="shared" si="54"/>
        <v>$0-$5</v>
      </c>
      <c r="S167" t="str">
        <f t="shared" si="55"/>
        <v>$0-$0.05</v>
      </c>
      <c r="T167">
        <f t="shared" si="56"/>
        <v>1.12E-2</v>
      </c>
    </row>
    <row r="168" spans="1:20" x14ac:dyDescent="0.3">
      <c r="A168" t="s">
        <v>1048</v>
      </c>
      <c r="B16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68" t="s">
        <v>1049</v>
      </c>
      <c r="D168" t="s">
        <v>1050</v>
      </c>
      <c r="E168" t="str">
        <f t="shared" si="38"/>
        <v>$0-$50</v>
      </c>
      <c r="F168">
        <v>2.9999999999999997E-4</v>
      </c>
      <c r="G168" t="s">
        <v>1051</v>
      </c>
      <c r="H168">
        <f t="shared" si="48"/>
        <v>3316153</v>
      </c>
      <c r="I168" t="s">
        <v>1052</v>
      </c>
      <c r="J168">
        <v>95553</v>
      </c>
      <c r="K168" t="s">
        <v>1053</v>
      </c>
      <c r="L168">
        <f>_xlfn.NUMBERVALUE(SUBSTITUTE(SUBSTITUTE(Crypto_Data__2[[#This Row],[Price (USD)]],"$",""),",",""))</f>
        <v>4.2110000000000003E-3</v>
      </c>
      <c r="M168">
        <f t="shared" si="49"/>
        <v>4.2097370788763376E-3</v>
      </c>
      <c r="N168">
        <f t="shared" si="50"/>
        <v>1.2629211236627261E-6</v>
      </c>
      <c r="O168" t="str">
        <f t="shared" si="51"/>
        <v>Up to $10</v>
      </c>
      <c r="P168">
        <f t="shared" si="52"/>
        <v>4.2122636791037315E-3</v>
      </c>
      <c r="Q168">
        <f t="shared" si="53"/>
        <v>4.2122633000000005E-3</v>
      </c>
      <c r="R168" t="str">
        <f t="shared" si="54"/>
        <v>$0-$5</v>
      </c>
      <c r="S168" t="str">
        <f t="shared" si="55"/>
        <v>$0-$0.05</v>
      </c>
      <c r="T168">
        <f t="shared" si="56"/>
        <v>2.9999999999999997E-4</v>
      </c>
    </row>
    <row r="169" spans="1:20" x14ac:dyDescent="0.3">
      <c r="A169" t="s">
        <v>1054</v>
      </c>
      <c r="B16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69" t="s">
        <v>1055</v>
      </c>
      <c r="D169" t="s">
        <v>1056</v>
      </c>
      <c r="E169" t="str">
        <f t="shared" si="38"/>
        <v>$0-$50</v>
      </c>
      <c r="F169">
        <v>2.8999999999999998E-3</v>
      </c>
      <c r="G169" t="s">
        <v>1058</v>
      </c>
      <c r="H169">
        <f t="shared" si="48"/>
        <v>3296073</v>
      </c>
      <c r="I169" t="s">
        <v>1059</v>
      </c>
      <c r="J169">
        <v>1991360</v>
      </c>
      <c r="K169" t="s">
        <v>1060</v>
      </c>
      <c r="L169">
        <f>_xlfn.NUMBERVALUE(SUBSTITUTE(SUBSTITUTE(Crypto_Data__2[[#This Row],[Price (USD)]],"$",""),",",""))</f>
        <v>3.6519999999999997E-2</v>
      </c>
      <c r="M169">
        <f t="shared" si="49"/>
        <v>3.6414398245089241E-2</v>
      </c>
      <c r="N169">
        <f t="shared" si="50"/>
        <v>1.0560175491075574E-4</v>
      </c>
      <c r="O169" t="str">
        <f t="shared" si="51"/>
        <v>Up to $10</v>
      </c>
      <c r="P169">
        <f t="shared" si="52"/>
        <v>3.6626216026476782E-2</v>
      </c>
      <c r="Q169">
        <f t="shared" si="53"/>
        <v>3.6625907999999992E-2</v>
      </c>
      <c r="R169" t="str">
        <f t="shared" si="54"/>
        <v>$0-$5</v>
      </c>
      <c r="S169" t="str">
        <f t="shared" si="55"/>
        <v>$0-$0.05</v>
      </c>
      <c r="T169">
        <f t="shared" si="56"/>
        <v>2.8999999999999998E-3</v>
      </c>
    </row>
    <row r="170" spans="1:20" x14ac:dyDescent="0.3">
      <c r="A170" t="s">
        <v>1061</v>
      </c>
      <c r="B17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70" t="s">
        <v>1062</v>
      </c>
      <c r="D170" t="s">
        <v>1063</v>
      </c>
      <c r="E170" t="str">
        <f t="shared" si="38"/>
        <v>$0-$50</v>
      </c>
      <c r="F170">
        <v>0</v>
      </c>
      <c r="G170" t="s">
        <v>1064</v>
      </c>
      <c r="H170">
        <f t="shared" si="48"/>
        <v>3290369</v>
      </c>
      <c r="I170" t="s">
        <v>1065</v>
      </c>
      <c r="J170">
        <v>19915</v>
      </c>
      <c r="K170" t="s">
        <v>1066</v>
      </c>
      <c r="L170">
        <f>_xlfn.NUMBERVALUE(SUBSTITUTE(SUBSTITUTE(Crypto_Data__2[[#This Row],[Price (USD)]],"$",""),",",""))</f>
        <v>3.2899999999999997E-4</v>
      </c>
      <c r="M170">
        <f t="shared" si="49"/>
        <v>3.2899999999999997E-4</v>
      </c>
      <c r="N170">
        <f t="shared" si="50"/>
        <v>0</v>
      </c>
      <c r="O170" t="str">
        <f t="shared" si="51"/>
        <v>Up to $10</v>
      </c>
      <c r="P170">
        <f t="shared" si="52"/>
        <v>3.2899999999999997E-4</v>
      </c>
      <c r="Q170">
        <f t="shared" si="53"/>
        <v>3.2899999999999997E-4</v>
      </c>
      <c r="R170" t="str">
        <f t="shared" si="54"/>
        <v>$0-$5</v>
      </c>
      <c r="S170" t="str">
        <f t="shared" si="55"/>
        <v>$0-$0.05</v>
      </c>
      <c r="T170">
        <f t="shared" si="56"/>
        <v>0</v>
      </c>
    </row>
    <row r="171" spans="1:20" x14ac:dyDescent="0.3">
      <c r="A171" t="s">
        <v>1067</v>
      </c>
      <c r="B17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71" t="s">
        <v>1068</v>
      </c>
      <c r="D171" t="s">
        <v>1069</v>
      </c>
      <c r="E171" t="str">
        <f t="shared" si="38"/>
        <v>$0-$50</v>
      </c>
      <c r="F171">
        <v>7.4000000000000003E-3</v>
      </c>
      <c r="G171" t="s">
        <v>1071</v>
      </c>
      <c r="H171">
        <f t="shared" si="48"/>
        <v>3283841</v>
      </c>
      <c r="I171" t="s">
        <v>1072</v>
      </c>
      <c r="J171">
        <v>123380</v>
      </c>
      <c r="K171" t="s">
        <v>1073</v>
      </c>
      <c r="L171">
        <f>_xlfn.NUMBERVALUE(SUBSTITUTE(SUBSTITUTE(Crypto_Data__2[[#This Row],[Price (USD)]],"$",""),",",""))</f>
        <v>3.6939999999999998E-3</v>
      </c>
      <c r="M171">
        <f t="shared" si="49"/>
        <v>3.6668651975382167E-3</v>
      </c>
      <c r="N171">
        <f t="shared" si="50"/>
        <v>2.7134802461783059E-5</v>
      </c>
      <c r="O171" t="str">
        <f t="shared" si="51"/>
        <v>Up to $10</v>
      </c>
      <c r="P171">
        <f t="shared" si="52"/>
        <v>3.7215393914970781E-3</v>
      </c>
      <c r="Q171">
        <f t="shared" si="53"/>
        <v>3.7213355999999999E-3</v>
      </c>
      <c r="R171" t="str">
        <f t="shared" si="54"/>
        <v>$0-$5</v>
      </c>
      <c r="S171" t="str">
        <f t="shared" si="55"/>
        <v>$0-$0.05</v>
      </c>
      <c r="T171">
        <f t="shared" si="56"/>
        <v>7.4000000000000003E-3</v>
      </c>
    </row>
    <row r="172" spans="1:20" x14ac:dyDescent="0.3">
      <c r="A172" t="s">
        <v>1074</v>
      </c>
      <c r="B17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72" t="s">
        <v>1075</v>
      </c>
      <c r="D172" t="s">
        <v>1076</v>
      </c>
      <c r="E172" t="str">
        <f t="shared" si="38"/>
        <v>$0-$50</v>
      </c>
      <c r="F172">
        <v>1.6999999999999999E-3</v>
      </c>
      <c r="G172" t="s">
        <v>1078</v>
      </c>
      <c r="H172">
        <f t="shared" si="48"/>
        <v>2780822</v>
      </c>
      <c r="I172" t="s">
        <v>1079</v>
      </c>
      <c r="J172">
        <v>492884</v>
      </c>
      <c r="K172" t="s">
        <v>1080</v>
      </c>
      <c r="L172">
        <f>_xlfn.NUMBERVALUE(SUBSTITUTE(SUBSTITUTE(Crypto_Data__2[[#This Row],[Price (USD)]],"$",""),",",""))</f>
        <v>5.0200000000000002E-3</v>
      </c>
      <c r="M172">
        <f t="shared" si="49"/>
        <v>5.0114804831785965E-3</v>
      </c>
      <c r="N172">
        <f t="shared" si="50"/>
        <v>8.5195168214036165E-6</v>
      </c>
      <c r="O172" t="str">
        <f t="shared" si="51"/>
        <v>Up to $10</v>
      </c>
      <c r="P172">
        <f t="shared" si="52"/>
        <v>5.0285485325052594E-3</v>
      </c>
      <c r="Q172">
        <f t="shared" si="53"/>
        <v>5.0285340000000003E-3</v>
      </c>
      <c r="R172" t="str">
        <f t="shared" si="54"/>
        <v>$0-$5</v>
      </c>
      <c r="S172" t="str">
        <f t="shared" si="55"/>
        <v>$0-$0.05</v>
      </c>
      <c r="T172">
        <f t="shared" si="56"/>
        <v>1.6999999999999999E-3</v>
      </c>
    </row>
    <row r="173" spans="1:20" x14ac:dyDescent="0.3">
      <c r="A173" t="s">
        <v>1081</v>
      </c>
      <c r="B17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73" t="s">
        <v>1082</v>
      </c>
      <c r="D173" t="s">
        <v>1083</v>
      </c>
      <c r="E173" t="str">
        <f t="shared" si="38"/>
        <v>$0-$50</v>
      </c>
      <c r="F173">
        <v>3.2000000000000002E-3</v>
      </c>
      <c r="G173" t="s">
        <v>1084</v>
      </c>
      <c r="H173">
        <f t="shared" si="48"/>
        <v>2775444</v>
      </c>
      <c r="I173" t="s">
        <v>1085</v>
      </c>
      <c r="J173">
        <v>78498</v>
      </c>
      <c r="K173" t="s">
        <v>1086</v>
      </c>
      <c r="L173">
        <f>_xlfn.NUMBERVALUE(SUBSTITUTE(SUBSTITUTE(Crypto_Data__2[[#This Row],[Price (USD)]],"$",""),",",""))</f>
        <v>3.5260000000000001E-3</v>
      </c>
      <c r="M173">
        <f t="shared" si="49"/>
        <v>3.5147527910685803E-3</v>
      </c>
      <c r="N173">
        <f t="shared" si="50"/>
        <v>1.1247208931419728E-5</v>
      </c>
      <c r="O173" t="str">
        <f t="shared" si="51"/>
        <v>Up to $10</v>
      </c>
      <c r="P173">
        <f t="shared" si="52"/>
        <v>3.537319422150883E-3</v>
      </c>
      <c r="Q173">
        <f t="shared" si="53"/>
        <v>3.5372832000000005E-3</v>
      </c>
      <c r="R173" t="str">
        <f t="shared" si="54"/>
        <v>$0-$5</v>
      </c>
      <c r="S173" t="str">
        <f t="shared" si="55"/>
        <v>$0-$0.05</v>
      </c>
      <c r="T173">
        <f t="shared" si="56"/>
        <v>3.2000000000000002E-3</v>
      </c>
    </row>
    <row r="174" spans="1:20" x14ac:dyDescent="0.3">
      <c r="A174" t="s">
        <v>1087</v>
      </c>
      <c r="B17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74" t="s">
        <v>1088</v>
      </c>
      <c r="D174" t="s">
        <v>1089</v>
      </c>
      <c r="E174" t="str">
        <f t="shared" si="38"/>
        <v>$0-$50</v>
      </c>
      <c r="F174">
        <v>0</v>
      </c>
      <c r="G174" t="s">
        <v>1090</v>
      </c>
      <c r="H174">
        <f t="shared" si="48"/>
        <v>2758101</v>
      </c>
      <c r="I174" t="s">
        <v>330</v>
      </c>
      <c r="J174" t="e">
        <v>#VALUE!</v>
      </c>
      <c r="K174" t="s">
        <v>318</v>
      </c>
      <c r="L174">
        <f>_xlfn.NUMBERVALUE(SUBSTITUTE(SUBSTITUTE(Crypto_Data__2[[#This Row],[Price (USD)]],"$",""),",",""))</f>
        <v>2.758E-3</v>
      </c>
      <c r="M174">
        <f t="shared" si="49"/>
        <v>2.758E-3</v>
      </c>
      <c r="N174">
        <f t="shared" si="50"/>
        <v>0</v>
      </c>
      <c r="O174" t="str">
        <f t="shared" si="51"/>
        <v>Up to $10</v>
      </c>
      <c r="P174">
        <f t="shared" si="52"/>
        <v>2.758E-3</v>
      </c>
      <c r="Q174">
        <f t="shared" si="53"/>
        <v>2.758E-3</v>
      </c>
      <c r="R174" t="str">
        <f t="shared" si="54"/>
        <v>$0-$5</v>
      </c>
      <c r="S174" t="str">
        <f t="shared" si="55"/>
        <v>$0-$0.05</v>
      </c>
      <c r="T174">
        <f t="shared" si="56"/>
        <v>0</v>
      </c>
    </row>
    <row r="175" spans="1:20" x14ac:dyDescent="0.3">
      <c r="A175" t="s">
        <v>1091</v>
      </c>
      <c r="B17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75" t="s">
        <v>1092</v>
      </c>
      <c r="D175" t="s">
        <v>1093</v>
      </c>
      <c r="E175" t="str">
        <f t="shared" si="38"/>
        <v>$0-$50</v>
      </c>
      <c r="F175">
        <v>4.1000000000000003E-3</v>
      </c>
      <c r="G175" t="s">
        <v>1094</v>
      </c>
      <c r="H175">
        <f t="shared" si="48"/>
        <v>2752249</v>
      </c>
      <c r="I175" t="s">
        <v>1095</v>
      </c>
      <c r="J175">
        <v>248901</v>
      </c>
      <c r="K175" t="s">
        <v>1096</v>
      </c>
      <c r="L175">
        <f>_xlfn.NUMBERVALUE(SUBSTITUTE(SUBSTITUTE(Crypto_Data__2[[#This Row],[Price (USD)]],"$",""),",",""))</f>
        <v>5.6870000000000002E-3</v>
      </c>
      <c r="M175">
        <f t="shared" si="49"/>
        <v>5.6637785081167218E-3</v>
      </c>
      <c r="N175">
        <f t="shared" si="50"/>
        <v>2.3221491883278385E-5</v>
      </c>
      <c r="O175" t="str">
        <f t="shared" si="51"/>
        <v>Up to $10</v>
      </c>
      <c r="P175">
        <f t="shared" si="52"/>
        <v>5.7104126920373534E-3</v>
      </c>
      <c r="Q175">
        <f t="shared" si="53"/>
        <v>5.7103166999999998E-3</v>
      </c>
      <c r="R175" t="str">
        <f t="shared" si="54"/>
        <v>$0-$5</v>
      </c>
      <c r="S175" t="str">
        <f t="shared" si="55"/>
        <v>$0-$0.05</v>
      </c>
      <c r="T175">
        <f t="shared" si="56"/>
        <v>4.1000000000000003E-3</v>
      </c>
    </row>
    <row r="176" spans="1:20" x14ac:dyDescent="0.3">
      <c r="A176" t="s">
        <v>1097</v>
      </c>
      <c r="B17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76" t="s">
        <v>1098</v>
      </c>
      <c r="D176" t="s">
        <v>1099</v>
      </c>
      <c r="E176" t="str">
        <f t="shared" si="38"/>
        <v>$0-$50</v>
      </c>
      <c r="F176">
        <v>1.66E-2</v>
      </c>
      <c r="G176" t="s">
        <v>1101</v>
      </c>
      <c r="H176">
        <f t="shared" si="48"/>
        <v>2740226</v>
      </c>
      <c r="I176" t="s">
        <v>1102</v>
      </c>
      <c r="J176">
        <v>650212</v>
      </c>
      <c r="K176" t="s">
        <v>1103</v>
      </c>
      <c r="L176">
        <f>_xlfn.NUMBERVALUE(SUBSTITUTE(SUBSTITUTE(Crypto_Data__2[[#This Row],[Price (USD)]],"$",""),",",""))</f>
        <v>2.63</v>
      </c>
      <c r="M176">
        <f t="shared" si="49"/>
        <v>2.5870548888451701</v>
      </c>
      <c r="N176">
        <f t="shared" si="50"/>
        <v>4.2945111154829796E-2</v>
      </c>
      <c r="O176" t="str">
        <f t="shared" si="51"/>
        <v>Up to $10</v>
      </c>
      <c r="P176">
        <f t="shared" si="52"/>
        <v>2.6743949562741505</v>
      </c>
      <c r="Q176">
        <f t="shared" si="53"/>
        <v>2.6736579999999996</v>
      </c>
      <c r="R176" t="str">
        <f t="shared" si="54"/>
        <v>$0-$5</v>
      </c>
      <c r="S176" t="str">
        <f t="shared" si="55"/>
        <v>$0.5-$5</v>
      </c>
      <c r="T176">
        <f t="shared" si="56"/>
        <v>1.66E-2</v>
      </c>
    </row>
    <row r="177" spans="1:20" x14ac:dyDescent="0.3">
      <c r="A177" t="s">
        <v>1104</v>
      </c>
      <c r="B17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77" t="s">
        <v>1105</v>
      </c>
      <c r="D177" t="s">
        <v>1106</v>
      </c>
      <c r="E177" t="str">
        <f t="shared" si="38"/>
        <v>$0-$50</v>
      </c>
      <c r="F177">
        <v>7.1999999999999998E-3</v>
      </c>
      <c r="G177" t="s">
        <v>1107</v>
      </c>
      <c r="H177">
        <f t="shared" si="48"/>
        <v>2725328</v>
      </c>
      <c r="I177" t="s">
        <v>1108</v>
      </c>
      <c r="J177">
        <v>225992</v>
      </c>
      <c r="K177" t="s">
        <v>1109</v>
      </c>
      <c r="L177">
        <f>_xlfn.NUMBERVALUE(SUBSTITUTE(SUBSTITUTE(Crypto_Data__2[[#This Row],[Price (USD)]],"$",""),",",""))</f>
        <v>7.2249999999999995E-2</v>
      </c>
      <c r="M177">
        <f t="shared" si="49"/>
        <v>7.1733518665607607E-2</v>
      </c>
      <c r="N177">
        <f t="shared" si="50"/>
        <v>5.1648133439238797E-4</v>
      </c>
      <c r="O177" t="str">
        <f t="shared" si="51"/>
        <v>Up to $10</v>
      </c>
      <c r="P177">
        <f t="shared" si="52"/>
        <v>7.2773972602739725E-2</v>
      </c>
      <c r="Q177">
        <f t="shared" si="53"/>
        <v>7.2770200000000007E-2</v>
      </c>
      <c r="R177" t="str">
        <f t="shared" si="54"/>
        <v>$0-$5</v>
      </c>
      <c r="S177" t="str">
        <f t="shared" si="55"/>
        <v>$0.05-$0.5</v>
      </c>
      <c r="T177">
        <f t="shared" si="56"/>
        <v>7.1999999999999998E-3</v>
      </c>
    </row>
    <row r="178" spans="1:20" x14ac:dyDescent="0.3">
      <c r="A178" t="s">
        <v>1110</v>
      </c>
      <c r="B17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78" t="s">
        <v>1111</v>
      </c>
      <c r="D178" t="s">
        <v>1112</v>
      </c>
      <c r="E178" t="str">
        <f t="shared" si="38"/>
        <v>$0-$50</v>
      </c>
      <c r="F178">
        <v>3.3E-3</v>
      </c>
      <c r="G178" t="s">
        <v>1113</v>
      </c>
      <c r="H178">
        <f t="shared" si="48"/>
        <v>2721575</v>
      </c>
      <c r="I178" t="s">
        <v>1114</v>
      </c>
      <c r="J178">
        <v>9317</v>
      </c>
      <c r="K178" t="s">
        <v>1115</v>
      </c>
      <c r="L178">
        <f>_xlfn.NUMBERVALUE(SUBSTITUTE(SUBSTITUTE(Crypto_Data__2[[#This Row],[Price (USD)]],"$",""),",",""))</f>
        <v>2.7390000000000001E-3</v>
      </c>
      <c r="M178">
        <f t="shared" si="49"/>
        <v>2.7299910296023121E-3</v>
      </c>
      <c r="N178">
        <f t="shared" si="50"/>
        <v>9.0089703976880056E-6</v>
      </c>
      <c r="O178" t="str">
        <f t="shared" si="51"/>
        <v>Up to $10</v>
      </c>
      <c r="P178">
        <f t="shared" si="52"/>
        <v>2.7480686264673422E-3</v>
      </c>
      <c r="Q178">
        <f t="shared" si="53"/>
        <v>2.7480387000000002E-3</v>
      </c>
      <c r="R178" t="str">
        <f t="shared" si="54"/>
        <v>$0-$5</v>
      </c>
      <c r="S178" t="str">
        <f t="shared" si="55"/>
        <v>$0-$0.05</v>
      </c>
      <c r="T178">
        <f t="shared" si="56"/>
        <v>3.3E-3</v>
      </c>
    </row>
    <row r="179" spans="1:20" x14ac:dyDescent="0.3">
      <c r="A179" t="s">
        <v>1116</v>
      </c>
      <c r="B17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79" t="s">
        <v>1117</v>
      </c>
      <c r="D179" t="s">
        <v>1118</v>
      </c>
      <c r="E179" t="str">
        <f t="shared" si="38"/>
        <v>$0-$50</v>
      </c>
      <c r="F179">
        <v>1.6199999999999999E-2</v>
      </c>
      <c r="G179" t="s">
        <v>1120</v>
      </c>
      <c r="H179">
        <f t="shared" si="48"/>
        <v>2718841</v>
      </c>
      <c r="I179" t="s">
        <v>1121</v>
      </c>
      <c r="J179">
        <v>93501</v>
      </c>
      <c r="K179" t="s">
        <v>1122</v>
      </c>
      <c r="L179">
        <f>_xlfn.NUMBERVALUE(SUBSTITUTE(SUBSTITUTE(Crypto_Data__2[[#This Row],[Price (USD)]],"$",""),",",""))</f>
        <v>0.33800000000000002</v>
      </c>
      <c r="M179">
        <f t="shared" si="49"/>
        <v>0.33261169061208429</v>
      </c>
      <c r="N179">
        <f t="shared" si="50"/>
        <v>5.3883093879157351E-3</v>
      </c>
      <c r="O179" t="str">
        <f t="shared" si="51"/>
        <v>Up to $10</v>
      </c>
      <c r="P179">
        <f t="shared" si="52"/>
        <v>0.34356576539947148</v>
      </c>
      <c r="Q179">
        <f t="shared" si="53"/>
        <v>0.34347560000000005</v>
      </c>
      <c r="R179" t="str">
        <f t="shared" si="54"/>
        <v>$0-$5</v>
      </c>
      <c r="S179" t="str">
        <f t="shared" si="55"/>
        <v>$0.05-$0.5</v>
      </c>
      <c r="T179">
        <f t="shared" si="56"/>
        <v>1.6199999999999999E-2</v>
      </c>
    </row>
    <row r="180" spans="1:20" x14ac:dyDescent="0.3">
      <c r="A180" t="s">
        <v>1123</v>
      </c>
      <c r="B18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80" t="s">
        <v>1124</v>
      </c>
      <c r="D180" t="s">
        <v>1125</v>
      </c>
      <c r="E180" t="str">
        <f t="shared" si="38"/>
        <v>$0-$50</v>
      </c>
      <c r="F180">
        <v>8.9999999999999998E-4</v>
      </c>
      <c r="G180" t="s">
        <v>1126</v>
      </c>
      <c r="H180">
        <f t="shared" si="48"/>
        <v>2717949</v>
      </c>
      <c r="I180" t="s">
        <v>1127</v>
      </c>
      <c r="J180">
        <v>86410</v>
      </c>
      <c r="K180" t="s">
        <v>1128</v>
      </c>
      <c r="L180">
        <f>_xlfn.NUMBERVALUE(SUBSTITUTE(SUBSTITUTE(Crypto_Data__2[[#This Row],[Price (USD)]],"$",""),",",""))</f>
        <v>8.8473999999999997E-2</v>
      </c>
      <c r="M180">
        <f t="shared" si="49"/>
        <v>8.8394444999500457E-2</v>
      </c>
      <c r="N180">
        <f t="shared" si="50"/>
        <v>7.9555000499539896E-5</v>
      </c>
      <c r="O180" t="str">
        <f t="shared" si="51"/>
        <v>Up to $10</v>
      </c>
      <c r="P180">
        <f t="shared" si="52"/>
        <v>8.8553698328495647E-2</v>
      </c>
      <c r="Q180">
        <f t="shared" si="53"/>
        <v>8.8553626599999991E-2</v>
      </c>
      <c r="R180" t="str">
        <f t="shared" si="54"/>
        <v>$0-$5</v>
      </c>
      <c r="S180" t="str">
        <f t="shared" si="55"/>
        <v>$0.05-$0.5</v>
      </c>
      <c r="T180">
        <f t="shared" si="56"/>
        <v>8.9999999999999998E-4</v>
      </c>
    </row>
    <row r="181" spans="1:20" x14ac:dyDescent="0.3">
      <c r="A181" t="s">
        <v>1129</v>
      </c>
      <c r="B18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81" t="s">
        <v>1130</v>
      </c>
      <c r="D181" t="s">
        <v>1131</v>
      </c>
      <c r="E181" t="str">
        <f t="shared" si="38"/>
        <v>$0-$50</v>
      </c>
      <c r="F181">
        <v>6.4000000000000003E-3</v>
      </c>
      <c r="G181" t="s">
        <v>1133</v>
      </c>
      <c r="H181">
        <f t="shared" si="48"/>
        <v>2715332</v>
      </c>
      <c r="I181" t="s">
        <v>1134</v>
      </c>
      <c r="J181">
        <v>475091</v>
      </c>
      <c r="K181" t="s">
        <v>1135</v>
      </c>
      <c r="L181">
        <f>_xlfn.NUMBERVALUE(SUBSTITUTE(SUBSTITUTE(Crypto_Data__2[[#This Row],[Price (USD)]],"$",""),",",""))</f>
        <v>1.7899999999999999E-2</v>
      </c>
      <c r="M181">
        <f t="shared" si="49"/>
        <v>1.7786168521462638E-2</v>
      </c>
      <c r="N181">
        <f t="shared" si="50"/>
        <v>1.1383147853736078E-4</v>
      </c>
      <c r="O181" t="str">
        <f t="shared" si="51"/>
        <v>Up to $10</v>
      </c>
      <c r="P181">
        <f t="shared" si="52"/>
        <v>1.8015297906602255E-2</v>
      </c>
      <c r="Q181">
        <f t="shared" si="53"/>
        <v>1.8014559999999999E-2</v>
      </c>
      <c r="R181" t="str">
        <f t="shared" si="54"/>
        <v>$0-$5</v>
      </c>
      <c r="S181" t="str">
        <f t="shared" si="55"/>
        <v>$0-$0.05</v>
      </c>
      <c r="T181">
        <f t="shared" si="56"/>
        <v>6.4000000000000003E-3</v>
      </c>
    </row>
    <row r="182" spans="1:20" x14ac:dyDescent="0.3">
      <c r="A182" t="s">
        <v>1136</v>
      </c>
      <c r="B18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82" t="s">
        <v>1137</v>
      </c>
      <c r="D182" t="s">
        <v>1138</v>
      </c>
      <c r="E182" t="str">
        <f t="shared" si="38"/>
        <v>$0-$50</v>
      </c>
      <c r="F182">
        <v>1.4E-3</v>
      </c>
      <c r="G182" t="s">
        <v>1139</v>
      </c>
      <c r="H182">
        <f t="shared" si="48"/>
        <v>2203902</v>
      </c>
      <c r="I182" t="s">
        <v>1140</v>
      </c>
      <c r="J182">
        <v>537558</v>
      </c>
      <c r="K182" t="s">
        <v>1141</v>
      </c>
      <c r="L182">
        <f>_xlfn.NUMBERVALUE(SUBSTITUTE(SUBSTITUTE(Crypto_Data__2[[#This Row],[Price (USD)]],"$",""),",",""))</f>
        <v>5.5381E-2</v>
      </c>
      <c r="M182">
        <f t="shared" si="49"/>
        <v>5.5303574995006988E-2</v>
      </c>
      <c r="N182">
        <f t="shared" si="50"/>
        <v>7.742500499301197E-5</v>
      </c>
      <c r="O182" t="str">
        <f t="shared" si="51"/>
        <v>Up to $10</v>
      </c>
      <c r="P182">
        <f t="shared" si="52"/>
        <v>5.5458642098938513E-2</v>
      </c>
      <c r="Q182">
        <f t="shared" si="53"/>
        <v>5.5458533400000003E-2</v>
      </c>
      <c r="R182" t="str">
        <f t="shared" si="54"/>
        <v>$0-$5</v>
      </c>
      <c r="S182" t="str">
        <f t="shared" si="55"/>
        <v>$0.05-$0.5</v>
      </c>
      <c r="T182">
        <f t="shared" si="56"/>
        <v>1.4E-3</v>
      </c>
    </row>
    <row r="183" spans="1:20" x14ac:dyDescent="0.3">
      <c r="A183" t="s">
        <v>1142</v>
      </c>
      <c r="B18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83" t="s">
        <v>1143</v>
      </c>
      <c r="D183" t="s">
        <v>1144</v>
      </c>
      <c r="E183" t="str">
        <f t="shared" si="38"/>
        <v>$0-$50</v>
      </c>
      <c r="F183">
        <v>1.2999999999999999E-3</v>
      </c>
      <c r="G183" t="s">
        <v>1145</v>
      </c>
      <c r="H183">
        <f t="shared" si="48"/>
        <v>2196829</v>
      </c>
      <c r="I183" t="s">
        <v>1146</v>
      </c>
      <c r="J183">
        <v>181224</v>
      </c>
      <c r="K183" t="s">
        <v>1147</v>
      </c>
      <c r="L183">
        <f>_xlfn.NUMBERVALUE(SUBSTITUTE(SUBSTITUTE(Crypto_Data__2[[#This Row],[Price (USD)]],"$",""),",",""))</f>
        <v>3.1109999999999999E-2</v>
      </c>
      <c r="M183">
        <f t="shared" si="49"/>
        <v>3.1069609507640063E-2</v>
      </c>
      <c r="N183">
        <f t="shared" si="50"/>
        <v>4.0390492359935332E-5</v>
      </c>
      <c r="O183" t="str">
        <f t="shared" si="51"/>
        <v>Up to $10</v>
      </c>
      <c r="P183">
        <f t="shared" si="52"/>
        <v>3.1150495644337636E-2</v>
      </c>
      <c r="Q183">
        <f t="shared" si="53"/>
        <v>3.1150443E-2</v>
      </c>
      <c r="R183" t="str">
        <f t="shared" si="54"/>
        <v>$0-$5</v>
      </c>
      <c r="S183" t="str">
        <f t="shared" si="55"/>
        <v>$0-$0.05</v>
      </c>
      <c r="T183">
        <f t="shared" si="56"/>
        <v>1.2999999999999999E-3</v>
      </c>
    </row>
    <row r="184" spans="1:20" x14ac:dyDescent="0.3">
      <c r="A184" t="s">
        <v>1148</v>
      </c>
      <c r="B18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84" t="s">
        <v>1149</v>
      </c>
      <c r="D184" t="s">
        <v>1150</v>
      </c>
      <c r="E184" t="str">
        <f t="shared" si="38"/>
        <v>$0-$50</v>
      </c>
      <c r="F184">
        <v>2.3E-3</v>
      </c>
      <c r="G184" t="s">
        <v>1151</v>
      </c>
      <c r="H184">
        <f t="shared" si="48"/>
        <v>2192711</v>
      </c>
      <c r="I184" t="s">
        <v>1152</v>
      </c>
      <c r="J184">
        <v>55232</v>
      </c>
      <c r="K184" t="s">
        <v>1153</v>
      </c>
      <c r="L184">
        <f>_xlfn.NUMBERVALUE(SUBSTITUTE(SUBSTITUTE(Crypto_Data__2[[#This Row],[Price (USD)]],"$",""),",",""))</f>
        <v>5.7250000000000001E-3</v>
      </c>
      <c r="M184">
        <f t="shared" si="49"/>
        <v>5.7118627157537669E-3</v>
      </c>
      <c r="N184">
        <f t="shared" si="50"/>
        <v>1.3137284246233193E-5</v>
      </c>
      <c r="O184" t="str">
        <f t="shared" si="51"/>
        <v>Up to $10</v>
      </c>
      <c r="P184">
        <f t="shared" si="52"/>
        <v>5.7381978550666533E-3</v>
      </c>
      <c r="Q184">
        <f t="shared" si="53"/>
        <v>5.7381674999999995E-3</v>
      </c>
      <c r="R184" t="str">
        <f t="shared" si="54"/>
        <v>$0-$5</v>
      </c>
      <c r="S184" t="str">
        <f t="shared" si="55"/>
        <v>$0-$0.05</v>
      </c>
      <c r="T184">
        <f t="shared" si="56"/>
        <v>2.3E-3</v>
      </c>
    </row>
    <row r="185" spans="1:20" x14ac:dyDescent="0.3">
      <c r="A185" t="s">
        <v>1154</v>
      </c>
      <c r="B18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85" t="s">
        <v>1155</v>
      </c>
      <c r="D185" t="s">
        <v>1156</v>
      </c>
      <c r="E185" t="str">
        <f t="shared" si="38"/>
        <v>$0-$50</v>
      </c>
      <c r="F185">
        <v>3.3E-3</v>
      </c>
      <c r="G185" t="s">
        <v>1157</v>
      </c>
      <c r="H185">
        <f t="shared" si="48"/>
        <v>2193844</v>
      </c>
      <c r="I185" t="s">
        <v>1158</v>
      </c>
      <c r="J185">
        <v>238266</v>
      </c>
      <c r="K185" t="s">
        <v>1159</v>
      </c>
      <c r="L185">
        <f>_xlfn.NUMBERVALUE(SUBSTITUTE(SUBSTITUTE(Crypto_Data__2[[#This Row],[Price (USD)]],"$",""),",",""))</f>
        <v>5.2193000000000003E-2</v>
      </c>
      <c r="M185">
        <f t="shared" si="49"/>
        <v>5.2021329612279475E-2</v>
      </c>
      <c r="N185">
        <f t="shared" si="50"/>
        <v>1.7167038772052806E-4</v>
      </c>
      <c r="O185" t="str">
        <f t="shared" si="51"/>
        <v>Up to $10</v>
      </c>
      <c r="P185">
        <f t="shared" si="52"/>
        <v>5.2365807163640012E-2</v>
      </c>
      <c r="Q185">
        <f t="shared" si="53"/>
        <v>5.2365236900000008E-2</v>
      </c>
      <c r="R185" t="str">
        <f t="shared" si="54"/>
        <v>$0-$5</v>
      </c>
      <c r="S185" t="str">
        <f t="shared" si="55"/>
        <v>$0.05-$0.5</v>
      </c>
      <c r="T185">
        <f t="shared" si="56"/>
        <v>3.3E-3</v>
      </c>
    </row>
    <row r="186" spans="1:20" x14ac:dyDescent="0.3">
      <c r="A186" t="s">
        <v>1160</v>
      </c>
      <c r="B18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86" t="s">
        <v>1161</v>
      </c>
      <c r="D186" t="s">
        <v>1162</v>
      </c>
      <c r="E186" t="str">
        <f t="shared" si="38"/>
        <v>$0-$50</v>
      </c>
      <c r="F186">
        <v>0</v>
      </c>
      <c r="G186" t="s">
        <v>1163</v>
      </c>
      <c r="H186">
        <f t="shared" si="48"/>
        <v>2190937</v>
      </c>
      <c r="I186" t="s">
        <v>330</v>
      </c>
      <c r="J186" t="e">
        <v>#VALUE!</v>
      </c>
      <c r="K186" t="s">
        <v>1164</v>
      </c>
      <c r="L186">
        <f>_xlfn.NUMBERVALUE(SUBSTITUTE(SUBSTITUTE(Crypto_Data__2[[#This Row],[Price (USD)]],"$",""),",",""))</f>
        <v>3.1970000000000002E-3</v>
      </c>
      <c r="M186">
        <f t="shared" si="49"/>
        <v>3.1970000000000002E-3</v>
      </c>
      <c r="N186">
        <f t="shared" si="50"/>
        <v>0</v>
      </c>
      <c r="O186" t="str">
        <f t="shared" si="51"/>
        <v>Up to $10</v>
      </c>
      <c r="P186">
        <f t="shared" si="52"/>
        <v>3.1970000000000002E-3</v>
      </c>
      <c r="Q186">
        <f t="shared" si="53"/>
        <v>3.1970000000000002E-3</v>
      </c>
      <c r="R186" t="str">
        <f t="shared" si="54"/>
        <v>$0-$5</v>
      </c>
      <c r="S186" t="str">
        <f t="shared" si="55"/>
        <v>$0-$0.05</v>
      </c>
      <c r="T186">
        <f t="shared" si="56"/>
        <v>0</v>
      </c>
    </row>
    <row r="187" spans="1:20" x14ac:dyDescent="0.3">
      <c r="A187" t="s">
        <v>1165</v>
      </c>
      <c r="B18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87" t="s">
        <v>1166</v>
      </c>
      <c r="D187" t="s">
        <v>1167</v>
      </c>
      <c r="E187" t="str">
        <f t="shared" si="38"/>
        <v>$0-$50</v>
      </c>
      <c r="F187">
        <v>4.1000000000000003E-3</v>
      </c>
      <c r="G187" t="s">
        <v>1168</v>
      </c>
      <c r="H187">
        <f t="shared" si="48"/>
        <v>2187874</v>
      </c>
      <c r="I187" t="s">
        <v>1169</v>
      </c>
      <c r="J187">
        <v>49762</v>
      </c>
      <c r="K187" t="s">
        <v>1170</v>
      </c>
      <c r="L187">
        <f>_xlfn.NUMBERVALUE(SUBSTITUTE(SUBSTITUTE(Crypto_Data__2[[#This Row],[Price (USD)]],"$",""),",",""))</f>
        <v>0.30230000000000001</v>
      </c>
      <c r="M187">
        <f t="shared" si="49"/>
        <v>0.30106563091325567</v>
      </c>
      <c r="N187">
        <f t="shared" si="50"/>
        <v>1.2343690867443469E-3</v>
      </c>
      <c r="O187" t="str">
        <f t="shared" si="51"/>
        <v>Up to $10</v>
      </c>
      <c r="P187">
        <f t="shared" si="52"/>
        <v>0.30354453258359276</v>
      </c>
      <c r="Q187">
        <f t="shared" si="53"/>
        <v>0.30353943</v>
      </c>
      <c r="R187" t="str">
        <f t="shared" si="54"/>
        <v>$0-$5</v>
      </c>
      <c r="S187" t="str">
        <f t="shared" si="55"/>
        <v>$0.05-$0.5</v>
      </c>
      <c r="T187">
        <f t="shared" si="56"/>
        <v>4.1000000000000003E-3</v>
      </c>
    </row>
    <row r="188" spans="1:20" x14ac:dyDescent="0.3">
      <c r="A188" t="s">
        <v>1171</v>
      </c>
      <c r="B18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88" t="s">
        <v>1172</v>
      </c>
      <c r="D188" t="s">
        <v>1173</v>
      </c>
      <c r="E188" t="str">
        <f t="shared" si="38"/>
        <v>$0-$50</v>
      </c>
      <c r="F188">
        <v>1.1000000000000001E-3</v>
      </c>
      <c r="G188" t="s">
        <v>1174</v>
      </c>
      <c r="H188">
        <f t="shared" si="48"/>
        <v>2179537</v>
      </c>
      <c r="I188" t="s">
        <v>1175</v>
      </c>
      <c r="J188">
        <v>1268</v>
      </c>
      <c r="K188" t="s">
        <v>1176</v>
      </c>
      <c r="L188">
        <f>_xlfn.NUMBERVALUE(SUBSTITUTE(SUBSTITUTE(Crypto_Data__2[[#This Row],[Price (USD)]],"$",""),",",""))</f>
        <v>3.7999999999999999E-2</v>
      </c>
      <c r="M188">
        <f t="shared" si="49"/>
        <v>3.7958245929477573E-2</v>
      </c>
      <c r="N188">
        <f t="shared" si="50"/>
        <v>4.175407052242619E-5</v>
      </c>
      <c r="O188" t="str">
        <f t="shared" si="51"/>
        <v>Up to $10</v>
      </c>
      <c r="P188">
        <f t="shared" si="52"/>
        <v>3.8041846030633694E-2</v>
      </c>
      <c r="Q188">
        <f t="shared" si="53"/>
        <v>3.8041800000000001E-2</v>
      </c>
      <c r="R188" t="str">
        <f t="shared" si="54"/>
        <v>$0-$5</v>
      </c>
      <c r="S188" t="str">
        <f t="shared" si="55"/>
        <v>$0-$0.05</v>
      </c>
      <c r="T188">
        <f t="shared" si="56"/>
        <v>1.1000000000000001E-3</v>
      </c>
    </row>
    <row r="189" spans="1:20" x14ac:dyDescent="0.3">
      <c r="A189" t="s">
        <v>1177</v>
      </c>
      <c r="B18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89" t="s">
        <v>1178</v>
      </c>
      <c r="D189" t="s">
        <v>1179</v>
      </c>
      <c r="E189" t="str">
        <f t="shared" si="38"/>
        <v>$0-$50</v>
      </c>
      <c r="F189">
        <v>1.0500000000000001E-2</v>
      </c>
      <c r="G189" t="s">
        <v>1181</v>
      </c>
      <c r="H189">
        <f t="shared" si="48"/>
        <v>2178852</v>
      </c>
      <c r="I189" t="s">
        <v>1182</v>
      </c>
      <c r="J189">
        <v>3030</v>
      </c>
      <c r="K189" t="s">
        <v>1183</v>
      </c>
      <c r="L189">
        <f>_xlfn.NUMBERVALUE(SUBSTITUTE(SUBSTITUTE(Crypto_Data__2[[#This Row],[Price (USD)]],"$",""),",",""))</f>
        <v>8.3631999999999998E-2</v>
      </c>
      <c r="M189">
        <f t="shared" si="49"/>
        <v>8.2762988619495298E-2</v>
      </c>
      <c r="N189">
        <f t="shared" si="50"/>
        <v>8.6901138050470006E-4</v>
      </c>
      <c r="O189" t="str">
        <f t="shared" si="51"/>
        <v>Up to $10</v>
      </c>
      <c r="P189">
        <f t="shared" si="52"/>
        <v>8.4519454269833247E-2</v>
      </c>
      <c r="Q189">
        <f t="shared" si="53"/>
        <v>8.4510136E-2</v>
      </c>
      <c r="R189" t="str">
        <f t="shared" si="54"/>
        <v>$0-$5</v>
      </c>
      <c r="S189" t="str">
        <f t="shared" si="55"/>
        <v>$0.05-$0.5</v>
      </c>
      <c r="T189">
        <f t="shared" si="56"/>
        <v>1.0500000000000001E-2</v>
      </c>
    </row>
    <row r="190" spans="1:20" x14ac:dyDescent="0.3">
      <c r="A190" t="s">
        <v>1184</v>
      </c>
      <c r="B19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90" t="s">
        <v>1185</v>
      </c>
      <c r="D190" t="s">
        <v>1186</v>
      </c>
      <c r="E190" t="str">
        <f t="shared" si="38"/>
        <v>$0-$50</v>
      </c>
      <c r="F190">
        <v>1.83E-2</v>
      </c>
      <c r="G190" t="s">
        <v>1188</v>
      </c>
      <c r="H190">
        <f t="shared" si="48"/>
        <v>2188825</v>
      </c>
      <c r="I190" t="s">
        <v>1189</v>
      </c>
      <c r="J190">
        <v>69711</v>
      </c>
      <c r="K190" t="s">
        <v>1190</v>
      </c>
      <c r="L190">
        <f>_xlfn.NUMBERVALUE(SUBSTITUTE(SUBSTITUTE(Crypto_Data__2[[#This Row],[Price (USD)]],"$",""),",",""))</f>
        <v>3.261E-3</v>
      </c>
      <c r="M190">
        <f t="shared" si="49"/>
        <v>3.2023961504468231E-3</v>
      </c>
      <c r="N190">
        <f t="shared" si="50"/>
        <v>5.8603849553176893E-5</v>
      </c>
      <c r="O190" t="str">
        <f t="shared" si="51"/>
        <v>Up to $10</v>
      </c>
      <c r="P190">
        <f t="shared" si="52"/>
        <v>3.3217887338290722E-3</v>
      </c>
      <c r="Q190">
        <f t="shared" si="53"/>
        <v>3.3206762999999999E-3</v>
      </c>
      <c r="R190" t="str">
        <f t="shared" si="54"/>
        <v>$0-$5</v>
      </c>
      <c r="S190" t="str">
        <f t="shared" si="55"/>
        <v>$0-$0.05</v>
      </c>
      <c r="T190">
        <f t="shared" si="56"/>
        <v>1.83E-2</v>
      </c>
    </row>
    <row r="191" spans="1:20" x14ac:dyDescent="0.3">
      <c r="A191" t="s">
        <v>1191</v>
      </c>
      <c r="B19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91" t="s">
        <v>1192</v>
      </c>
      <c r="D191" t="s">
        <v>1193</v>
      </c>
      <c r="E191" t="str">
        <f t="shared" si="38"/>
        <v>$0-$50</v>
      </c>
      <c r="F191">
        <v>0</v>
      </c>
      <c r="G191" t="s">
        <v>1194</v>
      </c>
      <c r="H191">
        <f t="shared" si="48"/>
        <v>2167793</v>
      </c>
      <c r="I191" t="s">
        <v>330</v>
      </c>
      <c r="J191" t="e">
        <v>#VALUE!</v>
      </c>
      <c r="K191" t="s">
        <v>836</v>
      </c>
      <c r="L191">
        <f>_xlfn.NUMBERVALUE(SUBSTITUTE(SUBSTITUTE(Crypto_Data__2[[#This Row],[Price (USD)]],"$",""),",",""))</f>
        <v>0.2167</v>
      </c>
      <c r="M191">
        <f t="shared" si="49"/>
        <v>0.2167</v>
      </c>
      <c r="N191">
        <f t="shared" si="50"/>
        <v>0</v>
      </c>
      <c r="O191" t="str">
        <f t="shared" si="51"/>
        <v>Up to $10</v>
      </c>
      <c r="P191">
        <f t="shared" si="52"/>
        <v>0.2167</v>
      </c>
      <c r="Q191">
        <f t="shared" si="53"/>
        <v>0.2167</v>
      </c>
      <c r="R191" t="str">
        <f t="shared" si="54"/>
        <v>$0-$5</v>
      </c>
      <c r="S191" t="str">
        <f t="shared" si="55"/>
        <v>$0.05-$0.5</v>
      </c>
      <c r="T191">
        <f t="shared" si="56"/>
        <v>0</v>
      </c>
    </row>
    <row r="192" spans="1:20" x14ac:dyDescent="0.3">
      <c r="A192" t="s">
        <v>1195</v>
      </c>
      <c r="B192"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92" t="s">
        <v>1196</v>
      </c>
      <c r="D192" t="s">
        <v>1197</v>
      </c>
      <c r="E192" t="str">
        <f t="shared" si="38"/>
        <v>$0-$50</v>
      </c>
      <c r="F192">
        <v>2.9999999999999997E-4</v>
      </c>
      <c r="G192" t="s">
        <v>1198</v>
      </c>
      <c r="H192">
        <f t="shared" si="48"/>
        <v>1756805</v>
      </c>
      <c r="I192" t="s">
        <v>1199</v>
      </c>
      <c r="J192">
        <v>90761</v>
      </c>
      <c r="K192" t="s">
        <v>1200</v>
      </c>
      <c r="L192">
        <f>_xlfn.NUMBERVALUE(SUBSTITUTE(SUBSTITUTE(Crypto_Data__2[[#This Row],[Price (USD)]],"$",""),",",""))</f>
        <v>2.0410000000000001E-2</v>
      </c>
      <c r="M192">
        <f t="shared" si="49"/>
        <v>2.0403878836349098E-2</v>
      </c>
      <c r="N192">
        <f t="shared" si="50"/>
        <v>6.1211636509031497E-6</v>
      </c>
      <c r="O192" t="str">
        <f t="shared" si="51"/>
        <v>Up to $10</v>
      </c>
      <c r="P192">
        <f t="shared" si="52"/>
        <v>2.0416124837451234E-2</v>
      </c>
      <c r="Q192">
        <f t="shared" si="53"/>
        <v>2.0416123000000001E-2</v>
      </c>
      <c r="R192" t="str">
        <f t="shared" si="54"/>
        <v>$0-$5</v>
      </c>
      <c r="S192" t="str">
        <f t="shared" si="55"/>
        <v>$0-$0.05</v>
      </c>
      <c r="T192">
        <f t="shared" si="56"/>
        <v>2.9999999999999997E-4</v>
      </c>
    </row>
    <row r="193" spans="1:20" x14ac:dyDescent="0.3">
      <c r="A193" t="s">
        <v>1201</v>
      </c>
      <c r="B193"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93" t="s">
        <v>1202</v>
      </c>
      <c r="D193" t="s">
        <v>1203</v>
      </c>
      <c r="E193" t="str">
        <f t="shared" si="38"/>
        <v>$0-$50</v>
      </c>
      <c r="F193">
        <v>4.2700000000000002E-2</v>
      </c>
      <c r="G193" t="s">
        <v>1205</v>
      </c>
      <c r="H193">
        <f t="shared" si="48"/>
        <v>1755788</v>
      </c>
      <c r="I193" t="s">
        <v>1206</v>
      </c>
      <c r="J193">
        <v>403029</v>
      </c>
      <c r="K193" t="s">
        <v>318</v>
      </c>
      <c r="L193">
        <f>_xlfn.NUMBERVALUE(SUBSTITUTE(SUBSTITUTE(Crypto_Data__2[[#This Row],[Price (USD)]],"$",""),",",""))</f>
        <v>1.755E-3</v>
      </c>
      <c r="M193">
        <f t="shared" si="49"/>
        <v>1.6831303347079698E-3</v>
      </c>
      <c r="N193">
        <f t="shared" si="50"/>
        <v>7.1869665292030246E-5</v>
      </c>
      <c r="O193" t="str">
        <f t="shared" si="51"/>
        <v>Up to $10</v>
      </c>
      <c r="P193">
        <f t="shared" si="52"/>
        <v>1.8332811031024757E-3</v>
      </c>
      <c r="Q193">
        <f t="shared" si="53"/>
        <v>1.8299384999999999E-3</v>
      </c>
      <c r="R193" t="str">
        <f t="shared" si="54"/>
        <v>$0-$5</v>
      </c>
      <c r="S193" t="str">
        <f t="shared" si="55"/>
        <v>$0-$0.05</v>
      </c>
      <c r="T193">
        <f t="shared" si="56"/>
        <v>4.2700000000000002E-2</v>
      </c>
    </row>
    <row r="194" spans="1:20" x14ac:dyDescent="0.3">
      <c r="A194" t="s">
        <v>1207</v>
      </c>
      <c r="B194"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94" t="s">
        <v>1208</v>
      </c>
      <c r="D194" t="s">
        <v>1209</v>
      </c>
      <c r="E194" t="str">
        <f t="shared" ref="E194:E201" si="57">IF(VALUE(SUBSTITUTE(D194,"$",""))&lt;=50,"$0-$50","Above $50")</f>
        <v>$0-$50</v>
      </c>
      <c r="F194">
        <v>7.4000000000000003E-3</v>
      </c>
      <c r="G194" t="s">
        <v>1210</v>
      </c>
      <c r="H194">
        <f t="shared" ref="H194:H201" si="58">_xlfn.NUMBERVALUE(SUBSTITUTE(SUBSTITUTE(G194,"$",""),",",""))</f>
        <v>1754868</v>
      </c>
      <c r="I194" t="s">
        <v>1211</v>
      </c>
      <c r="J194">
        <v>637</v>
      </c>
      <c r="K194" t="s">
        <v>1212</v>
      </c>
      <c r="L194">
        <f>_xlfn.NUMBERVALUE(SUBSTITUTE(SUBSTITUTE(Crypto_Data__2[[#This Row],[Price (USD)]],"$",""),",",""))</f>
        <v>3.3750000000000002E-2</v>
      </c>
      <c r="M194">
        <f t="shared" ref="M194:M201" si="59">L194/(1+F194)</f>
        <v>3.3502084574151283E-2</v>
      </c>
      <c r="N194">
        <f t="shared" ref="N194:N201" si="60">L194-M194</f>
        <v>2.4791542584871873E-4</v>
      </c>
      <c r="O194" t="str">
        <f t="shared" ref="O194:O201" si="61">IF(L194&lt;10,"Up to $10","&gt;= $10")</f>
        <v>Up to $10</v>
      </c>
      <c r="P194">
        <f t="shared" ref="P194:P201" si="62">L194/(1-F194)</f>
        <v>3.4001611928269192E-2</v>
      </c>
      <c r="Q194">
        <f t="shared" ref="Q194:Q201" si="63">L194*(1+F194)</f>
        <v>3.3999750000000002E-2</v>
      </c>
      <c r="R194" t="str">
        <f t="shared" ref="R194:R201" si="64">IF(L194&lt;=5,"$0-$5","Above $5")</f>
        <v>$0-$5</v>
      </c>
      <c r="S194" t="str">
        <f t="shared" ref="S194:S201" si="65">IF(L194&lt;=0.05,"$0-$0.05",
IF(L194&lt;=0.5,"$0.05-$0.5",
IF(L194&lt;=5,"$0.5-$5",
IF(L194&lt;=50,"$5-$50","&gt;$50"))))</f>
        <v>$0-$0.05</v>
      </c>
      <c r="T194">
        <f t="shared" ref="T194:T201" si="66">ABS(F194)</f>
        <v>7.4000000000000003E-3</v>
      </c>
    </row>
    <row r="195" spans="1:20" x14ac:dyDescent="0.3">
      <c r="A195" t="s">
        <v>1213</v>
      </c>
      <c r="B195"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95" t="s">
        <v>1214</v>
      </c>
      <c r="D195" t="s">
        <v>1215</v>
      </c>
      <c r="E195" t="str">
        <f t="shared" si="57"/>
        <v>$0-$50</v>
      </c>
      <c r="F195">
        <v>1.4E-3</v>
      </c>
      <c r="G195" t="s">
        <v>1216</v>
      </c>
      <c r="H195">
        <f t="shared" si="58"/>
        <v>1752254</v>
      </c>
      <c r="I195" t="s">
        <v>1217</v>
      </c>
      <c r="J195">
        <v>73794</v>
      </c>
      <c r="K195" t="s">
        <v>1218</v>
      </c>
      <c r="L195">
        <f>_xlfn.NUMBERVALUE(SUBSTITUTE(SUBSTITUTE(Crypto_Data__2[[#This Row],[Price (USD)]],"$",""),",",""))</f>
        <v>1.5869999999999999E-2</v>
      </c>
      <c r="M195">
        <f t="shared" si="59"/>
        <v>1.5847813061713598E-2</v>
      </c>
      <c r="N195">
        <f t="shared" si="60"/>
        <v>2.2186938286400393E-5</v>
      </c>
      <c r="O195" t="str">
        <f t="shared" si="61"/>
        <v>Up to $10</v>
      </c>
      <c r="P195">
        <f t="shared" si="62"/>
        <v>1.5892249148808331E-2</v>
      </c>
      <c r="Q195">
        <f t="shared" si="63"/>
        <v>1.5892218E-2</v>
      </c>
      <c r="R195" t="str">
        <f t="shared" si="64"/>
        <v>$0-$5</v>
      </c>
      <c r="S195" t="str">
        <f t="shared" si="65"/>
        <v>$0-$0.05</v>
      </c>
      <c r="T195">
        <f t="shared" si="66"/>
        <v>1.4E-3</v>
      </c>
    </row>
    <row r="196" spans="1:20" x14ac:dyDescent="0.3">
      <c r="A196" t="s">
        <v>1219</v>
      </c>
      <c r="B196"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96" t="s">
        <v>1220</v>
      </c>
      <c r="D196" t="s">
        <v>1221</v>
      </c>
      <c r="E196" t="str">
        <f t="shared" si="57"/>
        <v>$0-$50</v>
      </c>
      <c r="F196">
        <v>1.2999999999999999E-3</v>
      </c>
      <c r="G196" t="s">
        <v>1222</v>
      </c>
      <c r="H196">
        <f t="shared" si="58"/>
        <v>1747236</v>
      </c>
      <c r="I196" t="s">
        <v>1223</v>
      </c>
      <c r="J196">
        <v>99738</v>
      </c>
      <c r="K196" t="s">
        <v>1224</v>
      </c>
      <c r="L196">
        <f>_xlfn.NUMBERVALUE(SUBSTITUTE(SUBSTITUTE(Crypto_Data__2[[#This Row],[Price (USD)]],"$",""),",",""))</f>
        <v>6.5510000000000004E-3</v>
      </c>
      <c r="M196">
        <f t="shared" si="59"/>
        <v>6.5424947568161387E-3</v>
      </c>
      <c r="N196">
        <f t="shared" si="60"/>
        <v>8.505243183861734E-6</v>
      </c>
      <c r="O196" t="str">
        <f t="shared" si="61"/>
        <v>Up to $10</v>
      </c>
      <c r="P196">
        <f t="shared" si="62"/>
        <v>6.5595273856012817E-3</v>
      </c>
      <c r="Q196">
        <f t="shared" si="63"/>
        <v>6.559516300000001E-3</v>
      </c>
      <c r="R196" t="str">
        <f t="shared" si="64"/>
        <v>$0-$5</v>
      </c>
      <c r="S196" t="str">
        <f t="shared" si="65"/>
        <v>$0-$0.05</v>
      </c>
      <c r="T196">
        <f t="shared" si="66"/>
        <v>1.2999999999999999E-3</v>
      </c>
    </row>
    <row r="197" spans="1:20" x14ac:dyDescent="0.3">
      <c r="A197" t="s">
        <v>1225</v>
      </c>
      <c r="B197"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97" t="s">
        <v>1226</v>
      </c>
      <c r="D197" t="s">
        <v>1227</v>
      </c>
      <c r="E197" t="str">
        <f t="shared" si="57"/>
        <v>$0-$50</v>
      </c>
      <c r="F197">
        <v>5.7999999999999996E-3</v>
      </c>
      <c r="G197" t="s">
        <v>1229</v>
      </c>
      <c r="H197">
        <f t="shared" si="58"/>
        <v>1745226</v>
      </c>
      <c r="I197" t="s">
        <v>1230</v>
      </c>
      <c r="J197">
        <v>57798</v>
      </c>
      <c r="K197" t="s">
        <v>113</v>
      </c>
      <c r="L197">
        <f>_xlfn.NUMBERVALUE(SUBSTITUTE(SUBSTITUTE(Crypto_Data__2[[#This Row],[Price (USD)]],"$",""),",",""))</f>
        <v>1.085E-3</v>
      </c>
      <c r="M197">
        <f t="shared" si="59"/>
        <v>1.0787432889242394E-3</v>
      </c>
      <c r="N197">
        <f t="shared" si="60"/>
        <v>6.2567110757606129E-6</v>
      </c>
      <c r="O197" t="str">
        <f t="shared" si="61"/>
        <v>Up to $10</v>
      </c>
      <c r="P197">
        <f t="shared" si="62"/>
        <v>1.0913297123315228E-3</v>
      </c>
      <c r="Q197">
        <f t="shared" si="63"/>
        <v>1.0912930000000001E-3</v>
      </c>
      <c r="R197" t="str">
        <f t="shared" si="64"/>
        <v>$0-$5</v>
      </c>
      <c r="S197" t="str">
        <f t="shared" si="65"/>
        <v>$0-$0.05</v>
      </c>
      <c r="T197">
        <f t="shared" si="66"/>
        <v>5.7999999999999996E-3</v>
      </c>
    </row>
    <row r="198" spans="1:20" x14ac:dyDescent="0.3">
      <c r="A198" t="s">
        <v>1231</v>
      </c>
      <c r="B198"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198" t="s">
        <v>1232</v>
      </c>
      <c r="D198" t="s">
        <v>1233</v>
      </c>
      <c r="E198" t="str">
        <f t="shared" si="57"/>
        <v>$0-$50</v>
      </c>
      <c r="F198">
        <v>2.0000000000000001E-4</v>
      </c>
      <c r="G198" t="s">
        <v>1234</v>
      </c>
      <c r="H198">
        <f t="shared" si="58"/>
        <v>1739324</v>
      </c>
      <c r="I198" t="s">
        <v>1235</v>
      </c>
      <c r="J198">
        <v>28022</v>
      </c>
      <c r="K198" t="s">
        <v>1236</v>
      </c>
      <c r="L198">
        <f>_xlfn.NUMBERVALUE(SUBSTITUTE(SUBSTITUTE(Crypto_Data__2[[#This Row],[Price (USD)]],"$",""),",",""))</f>
        <v>5.8539999999999999E-5</v>
      </c>
      <c r="M198">
        <f t="shared" si="59"/>
        <v>5.8528294341131776E-5</v>
      </c>
      <c r="N198">
        <f t="shared" si="60"/>
        <v>1.1705658868222551E-8</v>
      </c>
      <c r="O198" t="str">
        <f t="shared" si="61"/>
        <v>Up to $10</v>
      </c>
      <c r="P198">
        <f t="shared" si="62"/>
        <v>5.8551710342068412E-5</v>
      </c>
      <c r="Q198">
        <f t="shared" si="63"/>
        <v>5.8551707999999999E-5</v>
      </c>
      <c r="R198" t="str">
        <f t="shared" si="64"/>
        <v>$0-$5</v>
      </c>
      <c r="S198" t="str">
        <f t="shared" si="65"/>
        <v>$0-$0.05</v>
      </c>
      <c r="T198">
        <f t="shared" si="66"/>
        <v>2.0000000000000001E-4</v>
      </c>
    </row>
    <row r="199" spans="1:20" x14ac:dyDescent="0.3">
      <c r="A199" t="s">
        <v>1237</v>
      </c>
      <c r="B199"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199" t="s">
        <v>1238</v>
      </c>
      <c r="D199" t="s">
        <v>1239</v>
      </c>
      <c r="E199" t="str">
        <f t="shared" si="57"/>
        <v>$0-$50</v>
      </c>
      <c r="F199">
        <v>0</v>
      </c>
      <c r="G199" t="s">
        <v>1240</v>
      </c>
      <c r="H199">
        <f t="shared" si="58"/>
        <v>1738739</v>
      </c>
      <c r="I199" t="s">
        <v>1241</v>
      </c>
      <c r="J199">
        <v>52</v>
      </c>
      <c r="K199" t="s">
        <v>1242</v>
      </c>
      <c r="L199">
        <f>_xlfn.NUMBERVALUE(SUBSTITUTE(SUBSTITUTE(Crypto_Data__2[[#This Row],[Price (USD)]],"$",""),",",""))</f>
        <v>7.2519999999999998E-3</v>
      </c>
      <c r="M199">
        <f t="shared" si="59"/>
        <v>7.2519999999999998E-3</v>
      </c>
      <c r="N199">
        <f t="shared" si="60"/>
        <v>0</v>
      </c>
      <c r="O199" t="str">
        <f t="shared" si="61"/>
        <v>Up to $10</v>
      </c>
      <c r="P199">
        <f t="shared" si="62"/>
        <v>7.2519999999999998E-3</v>
      </c>
      <c r="Q199">
        <f t="shared" si="63"/>
        <v>7.2519999999999998E-3</v>
      </c>
      <c r="R199" t="str">
        <f t="shared" si="64"/>
        <v>$0-$5</v>
      </c>
      <c r="S199" t="str">
        <f t="shared" si="65"/>
        <v>$0-$0.05</v>
      </c>
      <c r="T199">
        <f t="shared" si="66"/>
        <v>0</v>
      </c>
    </row>
    <row r="200" spans="1:20" x14ac:dyDescent="0.3">
      <c r="A200" t="s">
        <v>1243</v>
      </c>
      <c r="B200"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YES</v>
      </c>
      <c r="C200" t="s">
        <v>1243</v>
      </c>
      <c r="D200" t="s">
        <v>1244</v>
      </c>
      <c r="E200" t="str">
        <f t="shared" si="57"/>
        <v>$0-$50</v>
      </c>
      <c r="F200">
        <v>2.5999999999999999E-3</v>
      </c>
      <c r="G200" t="s">
        <v>1246</v>
      </c>
      <c r="H200">
        <f t="shared" si="58"/>
        <v>1736200</v>
      </c>
      <c r="I200" t="s">
        <v>1247</v>
      </c>
      <c r="J200">
        <v>105335</v>
      </c>
      <c r="K200" t="s">
        <v>1248</v>
      </c>
      <c r="L200">
        <f>_xlfn.NUMBERVALUE(SUBSTITUTE(SUBSTITUTE(Crypto_Data__2[[#This Row],[Price (USD)]],"$",""),",",""))</f>
        <v>1.8710000000000001E-3</v>
      </c>
      <c r="M200">
        <f t="shared" si="59"/>
        <v>1.8661480151605826E-3</v>
      </c>
      <c r="N200">
        <f t="shared" si="60"/>
        <v>4.8519848394174264E-6</v>
      </c>
      <c r="O200" t="str">
        <f t="shared" si="61"/>
        <v>Up to $10</v>
      </c>
      <c r="P200">
        <f t="shared" si="62"/>
        <v>1.8758772809304193E-3</v>
      </c>
      <c r="Q200">
        <f t="shared" si="63"/>
        <v>1.8758645999999999E-3</v>
      </c>
      <c r="R200" t="str">
        <f t="shared" si="64"/>
        <v>$0-$5</v>
      </c>
      <c r="S200" t="str">
        <f t="shared" si="65"/>
        <v>$0-$0.05</v>
      </c>
      <c r="T200">
        <f t="shared" si="66"/>
        <v>2.5999999999999999E-3</v>
      </c>
    </row>
    <row r="201" spans="1:20" x14ac:dyDescent="0.3">
      <c r="A201" t="s">
        <v>1249</v>
      </c>
      <c r="B201" t="str">
        <f>IF(OR(
LEFT(Crypto_Data__2[[#This Row],[Coin Name]],1)="A",
LEFT(Crypto_Data__2[[#This Row],[Coin Name]],1)="E",
LEFT(Crypto_Data__2[[#This Row],[Coin Name]],1)="I",
LEFT(Crypto_Data__2[[#This Row],[Coin Name]],1)="O",
LEFT(Crypto_Data__2[[#This Row],[Coin Name]],1)="U",
LEFT(Crypto_Data__2[[#This Row],[Coin Name]],1)="B",
LEFT(Crypto_Data__2[[#This Row],[Coin Name]],1)="C",
LEFT(Crypto_Data__2[[#This Row],[Coin Name]],1)="D"
),"YES","NO")</f>
        <v>NO</v>
      </c>
      <c r="C201" t="s">
        <v>1250</v>
      </c>
      <c r="D201" t="s">
        <v>1251</v>
      </c>
      <c r="E201" t="str">
        <f t="shared" si="57"/>
        <v>$0-$50</v>
      </c>
      <c r="F201">
        <v>0</v>
      </c>
      <c r="G201" t="s">
        <v>1252</v>
      </c>
      <c r="H201">
        <f t="shared" si="58"/>
        <v>1733212</v>
      </c>
      <c r="I201" t="s">
        <v>330</v>
      </c>
      <c r="J201" t="e">
        <v>#VALUE!</v>
      </c>
      <c r="K201" t="s">
        <v>594</v>
      </c>
      <c r="L201">
        <f>_xlfn.NUMBERVALUE(SUBSTITUTE(SUBSTITUTE(Crypto_Data__2[[#This Row],[Price (USD)]],"$",""),",",""))</f>
        <v>3.4659999999999999E-3</v>
      </c>
      <c r="M201">
        <f t="shared" si="59"/>
        <v>3.4659999999999999E-3</v>
      </c>
      <c r="N201">
        <f t="shared" si="60"/>
        <v>0</v>
      </c>
      <c r="O201" t="str">
        <f t="shared" si="61"/>
        <v>Up to $10</v>
      </c>
      <c r="P201">
        <f t="shared" si="62"/>
        <v>3.4659999999999999E-3</v>
      </c>
      <c r="Q201">
        <f t="shared" si="63"/>
        <v>3.4659999999999999E-3</v>
      </c>
      <c r="R201" t="str">
        <f t="shared" si="64"/>
        <v>$0-$5</v>
      </c>
      <c r="S201" t="str">
        <f t="shared" si="65"/>
        <v>$0-$0.05</v>
      </c>
      <c r="T201">
        <f t="shared" si="66"/>
        <v>0</v>
      </c>
    </row>
  </sheetData>
  <phoneticPr fontId="9"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B2B86-00EE-4319-BCC1-81FB12AE140A}">
  <sheetPr codeName="Sheet3"/>
  <dimension ref="A1:B14"/>
  <sheetViews>
    <sheetView workbookViewId="0">
      <selection activeCell="B21" sqref="B21"/>
    </sheetView>
  </sheetViews>
  <sheetFormatPr defaultRowHeight="14.4" x14ac:dyDescent="0.3"/>
  <cols>
    <col min="1" max="1" width="14.109375" bestFit="1" customWidth="1"/>
    <col min="2" max="2" width="21.6640625" bestFit="1" customWidth="1"/>
  </cols>
  <sheetData>
    <row r="1" spans="1:2" x14ac:dyDescent="0.3">
      <c r="A1" s="2" t="s">
        <v>1253</v>
      </c>
      <c r="B1" t="s">
        <v>1256</v>
      </c>
    </row>
    <row r="3" spans="1:2" x14ac:dyDescent="0.3">
      <c r="A3" s="2" t="s">
        <v>1254</v>
      </c>
      <c r="B3" t="s">
        <v>1258</v>
      </c>
    </row>
    <row r="4" spans="1:2" x14ac:dyDescent="0.3">
      <c r="A4" s="3" t="s">
        <v>7</v>
      </c>
      <c r="B4" s="4">
        <v>61196410006</v>
      </c>
    </row>
    <row r="5" spans="1:2" x14ac:dyDescent="0.3">
      <c r="A5" s="3" t="s">
        <v>14</v>
      </c>
      <c r="B5" s="4">
        <v>43714609700</v>
      </c>
    </row>
    <row r="6" spans="1:2" x14ac:dyDescent="0.3">
      <c r="A6" s="3" t="s">
        <v>47</v>
      </c>
      <c r="B6" s="4">
        <v>17027792821</v>
      </c>
    </row>
    <row r="7" spans="1:2" x14ac:dyDescent="0.3">
      <c r="A7" s="3" t="s">
        <v>34</v>
      </c>
      <c r="B7" s="4">
        <v>2278674127</v>
      </c>
    </row>
    <row r="8" spans="1:2" x14ac:dyDescent="0.3">
      <c r="A8" s="3" t="s">
        <v>53</v>
      </c>
      <c r="B8" s="4">
        <v>1961967012</v>
      </c>
    </row>
    <row r="9" spans="1:2" x14ac:dyDescent="0.3">
      <c r="A9" s="3" t="s">
        <v>67</v>
      </c>
      <c r="B9" s="4">
        <v>1153461846</v>
      </c>
    </row>
    <row r="10" spans="1:2" x14ac:dyDescent="0.3">
      <c r="A10" s="3" t="s">
        <v>101</v>
      </c>
      <c r="B10" s="4">
        <v>29706225</v>
      </c>
    </row>
    <row r="11" spans="1:2" x14ac:dyDescent="0.3">
      <c r="A11" s="3" t="s">
        <v>88</v>
      </c>
      <c r="B11" s="4">
        <v>29038108</v>
      </c>
    </row>
    <row r="12" spans="1:2" x14ac:dyDescent="0.3">
      <c r="A12" s="3" t="s">
        <v>378</v>
      </c>
      <c r="B12" s="4">
        <v>27805860</v>
      </c>
    </row>
    <row r="13" spans="1:2" x14ac:dyDescent="0.3">
      <c r="A13" s="3" t="s">
        <v>134</v>
      </c>
      <c r="B13" s="4">
        <v>27296450</v>
      </c>
    </row>
    <row r="14" spans="1:2" x14ac:dyDescent="0.3">
      <c r="A14" s="3" t="s">
        <v>1255</v>
      </c>
      <c r="B14" s="4">
        <v>127446762155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3D497-DD9B-495D-A69F-7BAAB82F9778}">
  <sheetPr codeName="Sheet4"/>
  <dimension ref="C3:I5"/>
  <sheetViews>
    <sheetView workbookViewId="0">
      <selection activeCell="C22" sqref="C22"/>
    </sheetView>
  </sheetViews>
  <sheetFormatPr defaultRowHeight="14.4" x14ac:dyDescent="0.3"/>
  <sheetData>
    <row r="3" spans="3:9" ht="14.4" customHeight="1" x14ac:dyDescent="0.45">
      <c r="C3" s="5"/>
      <c r="D3" s="6"/>
      <c r="E3" s="6"/>
      <c r="F3" s="6"/>
      <c r="G3" s="6"/>
      <c r="H3" s="6"/>
      <c r="I3" s="6"/>
    </row>
    <row r="4" spans="3:9" ht="14.4" customHeight="1" x14ac:dyDescent="0.45">
      <c r="C4" s="6"/>
      <c r="D4" s="6"/>
      <c r="E4" s="6"/>
      <c r="F4" s="6"/>
      <c r="G4" s="6"/>
      <c r="H4" s="6"/>
      <c r="I4" s="6"/>
    </row>
    <row r="5" spans="3:9" ht="14.4" customHeight="1" x14ac:dyDescent="0.45">
      <c r="C5" s="6"/>
      <c r="D5" s="6"/>
      <c r="E5" s="6"/>
      <c r="F5" s="6"/>
      <c r="G5" s="6"/>
      <c r="H5" s="6"/>
      <c r="I5" s="6"/>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446C2-AC5F-4E0E-BD0E-C2B28DF7C4AC}">
  <dimension ref="F2:J4"/>
  <sheetViews>
    <sheetView tabSelected="1" topLeftCell="A16" workbookViewId="0">
      <selection activeCell="C28" sqref="C28"/>
    </sheetView>
  </sheetViews>
  <sheetFormatPr defaultRowHeight="14.4" x14ac:dyDescent="0.3"/>
  <sheetData>
    <row r="2" spans="6:10" x14ac:dyDescent="0.3">
      <c r="F2" t="s">
        <v>1287</v>
      </c>
    </row>
    <row r="3" spans="6:10" ht="23.4" x14ac:dyDescent="0.45">
      <c r="F3" s="20" t="s">
        <v>1289</v>
      </c>
    </row>
    <row r="4" spans="6:10" x14ac:dyDescent="0.3">
      <c r="F4" t="s">
        <v>1286</v>
      </c>
      <c r="J4" t="s">
        <v>1288</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67446-E8E5-4E1A-9C19-51B5E84FEF91}">
  <sheetPr codeName="Sheet5"/>
  <dimension ref="A1:H21"/>
  <sheetViews>
    <sheetView showGridLines="0" workbookViewId="0">
      <selection activeCell="D21" sqref="D21"/>
    </sheetView>
  </sheetViews>
  <sheetFormatPr defaultRowHeight="14.4" x14ac:dyDescent="0.3"/>
  <cols>
    <col min="1" max="8" width="18.77734375" customWidth="1"/>
  </cols>
  <sheetData>
    <row r="1" spans="1:8" x14ac:dyDescent="0.3">
      <c r="A1" s="18" t="s">
        <v>1259</v>
      </c>
      <c r="B1" s="19"/>
      <c r="C1" s="19"/>
      <c r="D1" s="19"/>
      <c r="E1" s="19"/>
      <c r="F1" s="19"/>
      <c r="G1" s="19"/>
      <c r="H1" s="19"/>
    </row>
    <row r="2" spans="1:8" x14ac:dyDescent="0.3">
      <c r="A2" s="19"/>
      <c r="B2" s="19"/>
      <c r="C2" s="19"/>
      <c r="D2" s="19"/>
      <c r="E2" s="19"/>
      <c r="F2" s="19"/>
      <c r="G2" s="19"/>
      <c r="H2" s="19"/>
    </row>
    <row r="3" spans="1:8" x14ac:dyDescent="0.3">
      <c r="A3" s="19"/>
      <c r="B3" s="19"/>
      <c r="C3" s="19"/>
      <c r="D3" s="19"/>
      <c r="E3" s="19"/>
      <c r="F3" s="19"/>
      <c r="G3" s="19"/>
      <c r="H3" s="19"/>
    </row>
    <row r="5" spans="1:8" x14ac:dyDescent="0.3">
      <c r="A5" s="7"/>
      <c r="B5" s="7"/>
      <c r="C5" s="7"/>
      <c r="E5" s="7"/>
      <c r="F5" s="7"/>
      <c r="G5" s="7"/>
    </row>
    <row r="6" spans="1:8" ht="19.8" x14ac:dyDescent="0.3">
      <c r="A6" s="14" t="s">
        <v>1260</v>
      </c>
      <c r="B6" s="8"/>
      <c r="C6" s="8"/>
      <c r="E6" s="15" t="s">
        <v>1263</v>
      </c>
      <c r="F6" s="8"/>
      <c r="G6" s="8"/>
    </row>
    <row r="7" spans="1:8" x14ac:dyDescent="0.3">
      <c r="A7" s="8" t="s">
        <v>0</v>
      </c>
      <c r="B7" s="8" t="s">
        <v>7</v>
      </c>
      <c r="C7" s="8"/>
      <c r="E7" s="8" t="s">
        <v>0</v>
      </c>
      <c r="F7" s="8" t="s">
        <v>14</v>
      </c>
      <c r="G7" s="8"/>
    </row>
    <row r="8" spans="1:8" x14ac:dyDescent="0.3">
      <c r="A8" s="8" t="s">
        <v>1</v>
      </c>
      <c r="B8" s="8" t="str">
        <f>_xlfn.XLOOKUP(B7,Cleaned_Data!A:A,Cleaned_Data!C:C)</f>
        <v>BTC</v>
      </c>
      <c r="C8" s="8"/>
      <c r="E8" s="8" t="s">
        <v>1</v>
      </c>
      <c r="F8" s="8" t="str">
        <f>_xlfn.XLOOKUP(F7,Cleaned_Data!A:A,Cleaned_Data!C:C)</f>
        <v>ETH</v>
      </c>
      <c r="G8" s="8"/>
    </row>
    <row r="9" spans="1:8" x14ac:dyDescent="0.3">
      <c r="A9" s="8" t="s">
        <v>1261</v>
      </c>
      <c r="B9" s="8" t="str">
        <f>_xlfn.XLOOKUP(B7,Cleaned_Data!A:A,Cleaned_Data!D:D)</f>
        <v>$112,396.23</v>
      </c>
      <c r="C9" s="8"/>
      <c r="E9" s="8" t="s">
        <v>1261</v>
      </c>
      <c r="F9" s="8" t="str">
        <f>_xlfn.XLOOKUP(F7,Cleaned_Data!A:A,Cleaned_Data!D:D,"Not Found")</f>
        <v>$4,631.69</v>
      </c>
      <c r="G9" s="8"/>
    </row>
    <row r="10" spans="1:8" x14ac:dyDescent="0.3">
      <c r="A10" s="8" t="s">
        <v>1262</v>
      </c>
      <c r="B10" s="8" t="str">
        <f>_xlfn.XLOOKUP(B7,Cleaned_Data!A:A,Cleaned_Data!I:I)</f>
        <v>$61,196,410,006</v>
      </c>
      <c r="C10" s="8"/>
      <c r="E10" s="8" t="s">
        <v>1262</v>
      </c>
      <c r="F10" s="8" t="str">
        <f>_xlfn.XLOOKUP(F7,Cleaned_Data!A:A,Cleaned_Data!I:I)</f>
        <v>$43,714,609,700</v>
      </c>
      <c r="G10" s="8"/>
    </row>
    <row r="11" spans="1:8" x14ac:dyDescent="0.3">
      <c r="A11" s="8" t="s">
        <v>4</v>
      </c>
      <c r="B11" s="8" t="str">
        <f>_xlfn.XLOOKUP(B7,Cleaned_Data!A:A,Cleaned_Data!G:G)</f>
        <v>$2,236,591,973,065</v>
      </c>
      <c r="C11" s="8"/>
      <c r="E11" s="8" t="s">
        <v>4</v>
      </c>
      <c r="F11" s="8" t="str">
        <f>_xlfn.XLOOKUP(F7,Cleaned_Data!A:A,Cleaned_Data!G:G)</f>
        <v>$558,774,287,294</v>
      </c>
      <c r="G11" s="8"/>
    </row>
    <row r="12" spans="1:8" x14ac:dyDescent="0.3">
      <c r="A12" s="8" t="s">
        <v>6</v>
      </c>
      <c r="B12" s="8">
        <f>_xlfn.XLOOKUP(B7,Cleaned_Data!A:A,Cleaned_Data!J:J)</f>
        <v>61196410006</v>
      </c>
      <c r="C12" s="8"/>
      <c r="E12" s="8" t="s">
        <v>6</v>
      </c>
      <c r="F12" s="8">
        <f>_xlfn.XLOOKUP(F7,Cleaned_Data!A:A,Cleaned_Data!J:J)</f>
        <v>43714609700</v>
      </c>
      <c r="G12" s="8"/>
    </row>
    <row r="15" spans="1:8" x14ac:dyDescent="0.3">
      <c r="B15" s="9"/>
      <c r="C15" s="9"/>
    </row>
    <row r="16" spans="1:8" x14ac:dyDescent="0.3">
      <c r="C16" s="10" t="s">
        <v>1265</v>
      </c>
      <c r="D16" s="10"/>
      <c r="E16" s="10" t="s">
        <v>1265</v>
      </c>
      <c r="F16" s="11"/>
    </row>
    <row r="17" spans="3:6" x14ac:dyDescent="0.3">
      <c r="C17" s="10"/>
      <c r="D17" s="10"/>
      <c r="E17" s="10"/>
      <c r="F17" s="10"/>
    </row>
    <row r="18" spans="3:6" x14ac:dyDescent="0.3">
      <c r="C18" s="10"/>
      <c r="D18" s="11"/>
      <c r="E18" s="10"/>
      <c r="F18" s="11"/>
    </row>
    <row r="19" spans="3:6" x14ac:dyDescent="0.3">
      <c r="C19" s="10"/>
      <c r="D19" s="12"/>
      <c r="E19" s="10"/>
      <c r="F19" s="12"/>
    </row>
    <row r="20" spans="3:6" x14ac:dyDescent="0.3">
      <c r="C20" s="10"/>
      <c r="D20" s="13"/>
      <c r="E20" s="10"/>
      <c r="F20" s="13"/>
    </row>
    <row r="21" spans="3:6" x14ac:dyDescent="0.3">
      <c r="C21" s="10"/>
      <c r="E21" s="10"/>
      <c r="F21" s="10"/>
    </row>
  </sheetData>
  <mergeCells count="1">
    <mergeCell ref="A1:H3"/>
  </mergeCells>
  <dataValidations count="1">
    <dataValidation type="textLength" allowBlank="1" showInputMessage="1" showErrorMessage="1" errorTitle="Invalid Coin Name" error="Coin name must be between 3 and 10 characters." sqref="B7 F7" xr:uid="{BEC28BE3-5D9C-49BA-8181-5D3C2DC134C4}">
      <formula1>3</formula1>
      <formula2>10</formula2>
    </dataValidation>
  </dataValidations>
  <pageMargins left="1" right="1" top="1" bottom="1" header="0.5" footer="0.5"/>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8C787F8-7785-4C0A-B646-D21E3FA7791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Raw_Data</vt:lpstr>
      <vt:lpstr>Sheet1</vt:lpstr>
      <vt:lpstr>Sheet2</vt:lpstr>
      <vt:lpstr>Sheet4</vt:lpstr>
      <vt:lpstr>Sheet5</vt:lpstr>
      <vt:lpstr>Cleaned_Data</vt:lpstr>
      <vt:lpstr>Pivot_Tables</vt:lpstr>
      <vt:lpstr>Dashboard</vt:lpstr>
      <vt:lpstr>Interactive dashboard</vt:lpstr>
      <vt:lpstr>Crypto_Comparison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Shravan Nemane</dc:creator>
  <cp:lastModifiedBy>Shravan Nemane</cp:lastModifiedBy>
  <dcterms:created xsi:type="dcterms:W3CDTF">2026-07-10T11:56:27Z</dcterms:created>
  <dcterms:modified xsi:type="dcterms:W3CDTF">2026-07-18T18:30:45Z</dcterms:modified>
</cp:coreProperties>
</file>